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TISED-118\Desktop\Agriculture_Dataset\Excel\"/>
    </mc:Choice>
  </mc:AlternateContent>
  <bookViews>
    <workbookView xWindow="0" yWindow="0" windowWidth="28800" windowHeight="12435" activeTab="1"/>
  </bookViews>
  <sheets>
    <sheet name="Crops" sheetId="1" r:id="rId1"/>
    <sheet name="Pests" sheetId="3" r:id="rId2"/>
    <sheet name="Diseases" sheetId="2" r:id="rId3"/>
    <sheet name="Instructions" sheetId="4" r:id="rId4"/>
  </sheets>
  <definedNames>
    <definedName name="_xlnm._FilterDatabase" localSheetId="0" hidden="1">Crops!$A$1:$C$31</definedName>
    <definedName name="_xlnm._FilterDatabase" localSheetId="2" hidden="1">Diseases!$A$1:$G$3</definedName>
    <definedName name="_xlnm._FilterDatabase" localSheetId="1" hidden="1">Pests!$A$1:$G$3</definedName>
  </definedNames>
  <calcPr calcId="152511"/>
</workbook>
</file>

<file path=xl/calcChain.xml><?xml version="1.0" encoding="utf-8"?>
<calcChain xmlns="http://schemas.openxmlformats.org/spreadsheetml/2006/main">
  <c r="H44" i="3" l="1"/>
</calcChain>
</file>

<file path=xl/sharedStrings.xml><?xml version="1.0" encoding="utf-8"?>
<sst xmlns="http://schemas.openxmlformats.org/spreadsheetml/2006/main" count="1297" uniqueCount="802">
  <si>
    <t>Crop_ID</t>
  </si>
  <si>
    <t>Crop_Name</t>
  </si>
  <si>
    <t>Tamil_Name</t>
  </si>
  <si>
    <t>C001</t>
  </si>
  <si>
    <t>Paddy</t>
  </si>
  <si>
    <t>C002</t>
  </si>
  <si>
    <t>Ragi</t>
  </si>
  <si>
    <t>C003</t>
  </si>
  <si>
    <t>Cholam</t>
  </si>
  <si>
    <t>C004</t>
  </si>
  <si>
    <t>Maize</t>
  </si>
  <si>
    <t>C005</t>
  </si>
  <si>
    <t>C006</t>
  </si>
  <si>
    <t>Redgram</t>
  </si>
  <si>
    <t>C007</t>
  </si>
  <si>
    <t>Greengram</t>
  </si>
  <si>
    <t>C008</t>
  </si>
  <si>
    <t>Cowpea</t>
  </si>
  <si>
    <t>C009</t>
  </si>
  <si>
    <t>Horsegram</t>
  </si>
  <si>
    <t>C010</t>
  </si>
  <si>
    <t>Bengalgram</t>
  </si>
  <si>
    <t>C011</t>
  </si>
  <si>
    <t>Soyabean</t>
  </si>
  <si>
    <t>C012</t>
  </si>
  <si>
    <t>Groundnut</t>
  </si>
  <si>
    <t>C013</t>
  </si>
  <si>
    <t>Gingelly</t>
  </si>
  <si>
    <t>C014</t>
  </si>
  <si>
    <t>Sunflower</t>
  </si>
  <si>
    <t>C015</t>
  </si>
  <si>
    <t>Castor</t>
  </si>
  <si>
    <t>C016</t>
  </si>
  <si>
    <t>Cotton</t>
  </si>
  <si>
    <t>C017</t>
  </si>
  <si>
    <t>Sugarcane</t>
  </si>
  <si>
    <t>C018</t>
  </si>
  <si>
    <t>Tomato</t>
  </si>
  <si>
    <t>C019</t>
  </si>
  <si>
    <t>Brinjal</t>
  </si>
  <si>
    <t>C020</t>
  </si>
  <si>
    <t>Chillies</t>
  </si>
  <si>
    <t>C021</t>
  </si>
  <si>
    <t>Cucumber</t>
  </si>
  <si>
    <t>C022</t>
  </si>
  <si>
    <t>Potato</t>
  </si>
  <si>
    <t>C023</t>
  </si>
  <si>
    <t>Tapioca</t>
  </si>
  <si>
    <t>C024</t>
  </si>
  <si>
    <t>Mango</t>
  </si>
  <si>
    <t>C025</t>
  </si>
  <si>
    <t>Banana</t>
  </si>
  <si>
    <t>C026</t>
  </si>
  <si>
    <t>Acidlime</t>
  </si>
  <si>
    <t>C027</t>
  </si>
  <si>
    <t>Papaya</t>
  </si>
  <si>
    <t>C028</t>
  </si>
  <si>
    <t>Sapota</t>
  </si>
  <si>
    <t>C029</t>
  </si>
  <si>
    <t>Guava</t>
  </si>
  <si>
    <t>C030</t>
  </si>
  <si>
    <t>Coconut (Tall)</t>
  </si>
  <si>
    <t>Disease_ID</t>
  </si>
  <si>
    <t>Disease_Name</t>
  </si>
  <si>
    <t>Control_Message</t>
  </si>
  <si>
    <t>Image_Folder</t>
  </si>
  <si>
    <t>Image_Count</t>
  </si>
  <si>
    <t>Source</t>
  </si>
  <si>
    <t>D001</t>
  </si>
  <si>
    <t>Paddy/Diseases/Brown_Spot</t>
  </si>
  <si>
    <t>TN Agriculture</t>
  </si>
  <si>
    <t>D002</t>
  </si>
  <si>
    <t>Paddy/Diseases/Sheath_Rot</t>
  </si>
  <si>
    <t>Pest_ID</t>
  </si>
  <si>
    <t>Pest_Name</t>
  </si>
  <si>
    <t>Symptoms_or_Damage</t>
  </si>
  <si>
    <t>P001</t>
  </si>
  <si>
    <t>Stem Borer</t>
  </si>
  <si>
    <t>P002</t>
  </si>
  <si>
    <t>Gall Midge</t>
  </si>
  <si>
    <t>Purpose</t>
  </si>
  <si>
    <t>Master index for crop diseases and pests with 2–3 image references.</t>
  </si>
  <si>
    <t>Disease Image Folder</t>
  </si>
  <si>
    <t>Example: Paddy/Diseases/Brown_Spot/</t>
  </si>
  <si>
    <t>Pest Image Folder</t>
  </si>
  <si>
    <t>Example: Paddy/Pests/Stem_Borer/</t>
  </si>
  <si>
    <t>Enter 2 or 3 after uploading the images.</t>
  </si>
  <si>
    <t>Record the official source, e.g. TN Agriculture.</t>
  </si>
  <si>
    <t>Important</t>
  </si>
  <si>
    <t>Do not mark an insect as a disease vector unless the relationship is verified.</t>
  </si>
  <si>
    <t>Biological method Trichogramma japonicum,, egg parasite, @ 1,00,000/ha, external application Bacillus thuringiensis var. kurstaki 1.50 kg/ha . Insecticide recommendation : (per hectare) any one of Carbosulfan 6% granules --- 16.700 kg Acetate 75% SP 670-1000 gm, Bipronil 5% SC 1000 - 1500 gm mixed in 500 liters of water and spray ..</t>
  </si>
  <si>
    <t>Do not apply too much nitrogen fertilizer (urea). Spray the following crop protection products: 1. Carbosulfan 6% 16.700 kg. (or) 2. Bipronil 5% SC 1 liter. (or) 3. Chlorpyrifos 20% EC 1250 ml 4. Quinalphos 5% G 5 kg. to thoroughly wet the crop.</t>
  </si>
  <si>
    <t>P003</t>
  </si>
  <si>
    <t>P004</t>
  </si>
  <si>
    <t>P005</t>
  </si>
  <si>
    <t>P006</t>
  </si>
  <si>
    <t>P007</t>
  </si>
  <si>
    <t>P008</t>
  </si>
  <si>
    <t>P009</t>
  </si>
  <si>
    <t>P010</t>
  </si>
  <si>
    <t>P011</t>
  </si>
  <si>
    <t>P012</t>
  </si>
  <si>
    <t>P013</t>
  </si>
  <si>
    <t>P014</t>
  </si>
  <si>
    <t>P015</t>
  </si>
  <si>
    <t>P016</t>
  </si>
  <si>
    <t>P017</t>
  </si>
  <si>
    <t>P018</t>
  </si>
  <si>
    <t>P019</t>
  </si>
  <si>
    <t>P020</t>
  </si>
  <si>
    <t>P021</t>
  </si>
  <si>
    <t>P022</t>
  </si>
  <si>
    <t>P023</t>
  </si>
  <si>
    <t>P024</t>
  </si>
  <si>
    <t>P025</t>
  </si>
  <si>
    <t>P026</t>
  </si>
  <si>
    <t>P027</t>
  </si>
  <si>
    <t>P028</t>
  </si>
  <si>
    <t>P029</t>
  </si>
  <si>
    <t>P030</t>
  </si>
  <si>
    <t>P031</t>
  </si>
  <si>
    <t>P032</t>
  </si>
  <si>
    <t>P033</t>
  </si>
  <si>
    <t>P034</t>
  </si>
  <si>
    <t>P035</t>
  </si>
  <si>
    <t>P036</t>
  </si>
  <si>
    <t>P037</t>
  </si>
  <si>
    <t>P038</t>
  </si>
  <si>
    <t>P039</t>
  </si>
  <si>
    <t>P040</t>
  </si>
  <si>
    <t>P041</t>
  </si>
  <si>
    <t>P042</t>
  </si>
  <si>
    <t>P043</t>
  </si>
  <si>
    <t>P044</t>
  </si>
  <si>
    <t>P045</t>
  </si>
  <si>
    <t>P046</t>
  </si>
  <si>
    <t>P047</t>
  </si>
  <si>
    <t>P048</t>
  </si>
  <si>
    <t>P049</t>
  </si>
  <si>
    <t>P050</t>
  </si>
  <si>
    <t>P051</t>
  </si>
  <si>
    <t>P052</t>
  </si>
  <si>
    <t>P053</t>
  </si>
  <si>
    <t>P054</t>
  </si>
  <si>
    <t>P055</t>
  </si>
  <si>
    <t>P056</t>
  </si>
  <si>
    <t>P057</t>
  </si>
  <si>
    <t>P058</t>
  </si>
  <si>
    <t>Swarming caterpillar: 1.. Water the nursery with plenty of water and feed the worms to the birds. 2. To suffocate the worms, mix kerosene at the rate of 2 liters per hectare in water during irrigation and pull the worms on the crop with a long rope to make them fall. 3. Release ducks into the field. Chemical method: Spray Chlorpyrifos 25 EC at the rate of 2.5 liters per hectare in 500 liters of water.</t>
  </si>
  <si>
    <t>After draining the water in the field, spray chlorpyrifos 20 EC at a rate of 1250 ml per hectare in the evening.</t>
  </si>
  <si>
    <t>Spray Trichogramma chylonis thrice (once a week at 30 days interval after planting) 1,00,000 / ha Bacillus thuringiensis var. kurstaki 1.50 kg per ha Spray the following insecticides Acebate 75% SP 666-1000 ml, Thiamethoxam 25% WG 100 gm, Fipronil 80% WG 50-62.5 gm</t>
  </si>
  <si>
    <t>Swarming Caterpillar</t>
  </si>
  <si>
    <t>Green Leaf
Hopper</t>
  </si>
  <si>
    <t>Rice
Skipper</t>
  </si>
  <si>
    <t>Leaf folder</t>
  </si>
  <si>
    <t>Green horned
caterpillar</t>
  </si>
  <si>
    <t>Yellow hairy
caterpillar</t>
  </si>
  <si>
    <t>Grasshopper</t>
  </si>
  <si>
    <t>Spiny
beetle</t>
  </si>
  <si>
    <t>Whorl
maggot</t>
  </si>
  <si>
    <t>Brown plant
hopper</t>
  </si>
  <si>
    <t>White backed
hopper</t>
  </si>
  <si>
    <t>Ear Head
Bug</t>
  </si>
  <si>
    <t>Thrips</t>
  </si>
  <si>
    <t>Mealy
bug</t>
  </si>
  <si>
    <t>Narrow brown leaf
spot</t>
  </si>
  <si>
    <t>zinc
deficiency</t>
  </si>
  <si>
    <t>Case
worm</t>
  </si>
  <si>
    <t>brown spot
disease</t>
  </si>
  <si>
    <t>case
worm</t>
  </si>
  <si>
    <t>Recommended ash fertilizer should be used. After draining the water in the field, spray Chlorpyrifos 20 EC at a rate of 1250 ml per hectare in the evening.</t>
  </si>
  <si>
    <t>Spray one of the insecticides twice, 15
and 30 days after planting:
Phosphamidon 40% SL 1000 ml
Carbofuran 3% CG 25 kg
Buprofezin 25% SC 800 g
Carbosulfan 25% EC 800-1000 per hectare</t>
  </si>
  <si>
    <t>Neem oil 3%, 15 liters/hectare (or) Ilupai oil 6% 30 liters/hectare (or) Neem seed juice 5% 25 kg/hectare</t>
  </si>
  <si>
    <t>Phosphophyton 40 SL 1000 ml/ha</t>
  </si>
  <si>
    <t>Spray any of the following,
(per hectare):
Quinalphos 1.5% T 25 kg
Malathion 50% EC 500 ml
Neem seed solution extract 5% (25 kg seed/hectare)</t>
  </si>
  <si>
    <t>Spray any one of the following insecticides. Spray Buprunin 25 SC 200 ml/200 l of water. Spray Thiomethacin 20 WDG 100 g/200 l of water. Spray Dimethoate 30 EC 400 ml + Azadirachtin 1000 PPM.</t>
  </si>
  <si>
    <t>Spray Propiconazole 25% sc @ 2.5 ml/litre of water.</t>
  </si>
  <si>
    <t>It can be controlled by using 6 liters of kerosene per acre. To make the larvae fall down, pull a rope across the young plants and the eggs will fall into the water. Then the water in the field can be drained or the eggs can be pulled from one side of the field to the other side of the plant so that it falls on the seedlings. Spray any of these, spray 1000 ml of Phentoyate 50% EC</t>
  </si>
  <si>
    <t>Pseudomonas fluorescens 10 g/kg seed treatment. Following this, mix 2.5 kg/ha in 100 liters of water and soak the seedlings for 30 minutes before planting or treat the seed with Captan or Thiram @ 2.0 g/kg or treat the seed with 2.5 g Agrosan or Cerasan/kg seed. Spray any one, Carbendazim 5% GR @ 12.5 kg/ha</t>
  </si>
  <si>
    <t>Kerosene can be used to control the eggs by applying six liters of kerosene per acre. To make the eggs fall down from the holes, a rope can be pulled across the young plants and the eggs will fall into the water. Then the water in the field can be drained or the rope can be pulled from one side of the field to the other side of the plant so that it falls on the seedlings, so that the eggs will also fall down. Spray Mithyl Bharathiyan 0.05% (or) Quinilphos 0.05%.</t>
  </si>
  <si>
    <t>Zn chelates (e.g., Zn - EDTA) can be used. Repeat sprays can be applied at intervals of 2-3 to 10-14 days</t>
  </si>
  <si>
    <t>Spray Chlorpyrifos 20% EC 1250 ml/ha Carbofuran 3% CG 25 kg</t>
  </si>
  <si>
    <t>Pink stem
borer</t>
  </si>
  <si>
    <t>Aphid</t>
  </si>
  <si>
    <t>Shoot
fly</t>
  </si>
  <si>
    <t>Stem
Borer</t>
  </si>
  <si>
    <t>Ear Head Caterpillar
Radial Drill</t>
  </si>
  <si>
    <t>Shoot bug</t>
  </si>
  <si>
    <t>Spray Dimethoate 30%EC or Quinalphos 25% EC @ 1500 ml/ha. Spray Basalon 35% EC @ 20 days interval per ha to control the purple stem borer. Use egg parasite Trichogramma chilonis @ 12 cc/ha.</t>
  </si>
  <si>
    <t>Carbaryl 50 WP @ 1 kg in 500 liters of water/hectare should be sprayed during the milking season.</t>
  </si>
  <si>
    <t>Spray the lower part of the plant affected by the pest with 20 ml of Demeton 25 EC insecticide or spray Dimethoate 30EC 1.2 liters / hectare</t>
  </si>
  <si>
    <t>Seeds treated with mitochlorobit should be used. Spray Dimethoate 30%EC 1155 ml/ha, Caribofuran 3 CG 33.3 kg/ha.</t>
  </si>
  <si>
    <t>Treat the seeds with 10 g of Imidacloprid 70 ws per kg of seeds and sow. Spray Dimethoate 30 EC 12 ML/ha.</t>
  </si>
  <si>
    <t>Carbofuran 3G 17 kg/ha insecticide mixed with sand (50 kg) should be sprayed on the leaves.</t>
  </si>
  <si>
    <t>Spraying of Basalon 35% EC per hectare at 20-day intervals can control the purple stem borer.</t>
  </si>
  <si>
    <t>Spray Carbaryl 10 D @ 25 kg/ha after 3rd and 18th days of tillering.</t>
  </si>
  <si>
    <t>Male weevils can be attracted and destroyed by setting up 12 bait traps per hectare.</t>
  </si>
  <si>
    <t>Spray Dimethoate 0.02% mixed with 500 liters of water per hectare.</t>
  </si>
  <si>
    <t>Spray `Dimethod 30 EC 12 ML /ha.</t>
  </si>
  <si>
    <t>Pink stem borer</t>
  </si>
  <si>
    <t>Ear Head Bug</t>
  </si>
  <si>
    <t>shoot fly</t>
  </si>
  <si>
    <t>Ash weevil</t>
  </si>
  <si>
    <t>Stem borer</t>
  </si>
  <si>
    <t>Corn worm/Earworm</t>
  </si>
  <si>
    <t>Leafhopper</t>
  </si>
  <si>
    <t>Fall Army Worm</t>
  </si>
  <si>
    <t>american bool warm</t>
  </si>
  <si>
    <t>For the crop 15 to 20 days after sowing, spray Azidrac Tin 1500 ppm - 1 liter per acre mixed with water. Young shoots (15 to 20 days after sowing)  Azadirachtin 1500 ppm - 1 liter per acre mixed with water. Shoots (40 to 45 days after sowing)  Metarhizium anisophyllae - 1.6 kg per acre</t>
  </si>
  <si>
    <t>Small worm season - Spray Azadiactin 1% EC ml /10 liters. Spray Metarhychium Anisofla 80 g /10 liters 40 - 45 days after sowing. Or Spray Chlorotraniliprole 2 ml /liter 60 - 65 days after sowing. Or • Spray Flubendiamide 480 SC 4 ml /liter.</t>
  </si>
  <si>
    <t>You can set up a light trap to attract and kill the moth.
You can destroy the chicks and egg masses by peeling the cob after 150 and 210 days of planting.
Spray Bifronil 5%SC 1000-1500 kg / ha</t>
  </si>
  <si>
    <t>You can set up light traps to attract and kill the moths. You can set up 12 traps/hectare to reduce the number of male moths. Apply 25 kg of Basalon 4D/hectare in the field.</t>
  </si>
  <si>
    <t>Intercropping beans or broad beans with maize in a ratio of 4:1 can reduce the attack of this pest to some extent.
Light traps can be set to attract and kill the weevils.
Dead plants should be removed from the field.</t>
  </si>
  <si>
    <t>Spray dimethoate 0.02 percent insecticide.</t>
  </si>
  <si>
    <t>Spray Quinalphos 25 EC @ 1 L/ha.</t>
  </si>
  <si>
    <t>Seeds treated with mitochlorobit should be used. Spray Dimethoate 30%EC 1155 ml/ha.</t>
  </si>
  <si>
    <t>Spray the lower part of the plant affected by the pest with 20 ml of Demeton 25 EC insecticide or spray Dimethoate 30EC 1.2 liters / hectare.</t>
  </si>
  <si>
    <t>Spray any one of the following pesticides on the third and eighteenth day of emergence of the seedlings:
Malathion 5 D 25 kg/hectare
Neem nut extract 5 percent
Azithromycin 1 percent</t>
  </si>
  <si>
    <t>Pink stem borer can be controlled by spraying Basalon 35% EC per hectare at an interval of 20 days. • Use egg parasite, Trichogramma chilonis @ 12 cc / hectare egg parasite.</t>
  </si>
  <si>
    <t>Shoot fly</t>
  </si>
  <si>
    <t>Treat the seeds with 10 g of Imidacloprid 70 WS per kg of seeds and sow. Spray Dimethoate 30 EC 12 ML/ha.</t>
  </si>
  <si>
    <t>Immediately after harvesting, the land can be ploughed along with the maize stalks to destroy the larvae. You can also set up a light trap to attract and destroy the weevils. Mix the following medicine with sand (50 kg) and apply it: Carbofuran 3 G 17 kg</t>
  </si>
  <si>
    <t>helicoverpa head borer</t>
  </si>
  <si>
    <t>1. Green gram, gram, gram, soybean can be cultivated as intercrop. 2. Lamp trap (1 lamp trap / 5 acres) can be placed. 3. H. N. PV 250 LE + 1 kg sugarcane + 200 ml. Sandovite (or) Beepal mixed and sprayed only in evenings 4.5% neem oil (or) 5% neem seed extract can be sprayed before laying eggs</t>
  </si>
  <si>
    <t>Gram pod borer</t>
  </si>
  <si>
    <t>Traps can be used to control the pest by placing 12 traps per ha. Use Bacillus thuringiensis var. kurstaki 5% W.S.P 1000-1250 gm/ha or any of the following insecticides Azadrestin 0.03% W.S.P 2500-5000 gm/ha or Emamectin benzoate 5% SG 220 gm/ha.</t>
  </si>
  <si>
    <t>Blue butterfly</t>
  </si>
  <si>
    <t>Spray one of the following insecticides: Chlorantraniliprole 18.5% SC 100 ml/ha Flubendiamide 39.35% SC 100 ml/ha Lufenuron 5.4% EC 600 ml/ha</t>
  </si>
  <si>
    <t>Spotted pod borer</t>
  </si>
  <si>
    <t>Control can be done by placing 12 traps per hectare or spraying one of the following insecticides: Thiodicarb 75% WP 625 gm/ha or Chlorantraniliprole 18.5% SC 100 ml/ha</t>
  </si>
  <si>
    <t>Spiny pod borer</t>
  </si>
  <si>
    <t>Traps can be placed at a spacing of 50 meters at a rate of 5 per hectare or any of the following insecticides can be used: Neem seed extract 5% followed by Trisophos 0.05% or Quinalphos 25 EC @ 1000 ml/ha.</t>
  </si>
  <si>
    <t>Field bean pod borer</t>
  </si>
  <si>
    <t>Traps can be placed at a distance of 50 meters per hectare and can be used for control. Use any of the following insecticides: Azadrestin 0.03% WSP 2500-5000 gm/ha Chlorpyrifos 20 EC 1250 ml/ha Emamectin Benzoate 5% SG 220 gm/ha</t>
  </si>
  <si>
    <t>Tur pod fly</t>
  </si>
  <si>
    <t>Spray one of the following insecticides Azadirachtin 0.03% WSP 2.5 kg/ha or Chlorpyrifos 20 EC 1250 ml/ha or Emamectin Benzoate 5% SG 220 g/ha</t>
  </si>
  <si>
    <t>Stem fly</t>
  </si>
  <si>
    <t>Seeds should be treated with Dimethoate 30% EC at the rate of 5 ml/kg and sown. Spray Imidacloprid 70% WG 500 ml/ha within a week of seed germination and spray again at an interval of 10 days or spray 5% neem seed extract.</t>
  </si>
  <si>
    <t>Pod bug</t>
  </si>
  <si>
    <t>Spray one of the following insecticides: Dimethoate 30% EC 500 ml/ha or Methyl Demeton 25% EC 500 ml/ha or Imidacloprid 17.8 SL 125 ml/ha</t>
  </si>
  <si>
    <t>Lab lab bug</t>
  </si>
  <si>
    <t>Spray one of the following insecticides: Dimethoate 30% EC 500 ml/ha or Methyl Demeton 25% EC 500 ml/ha</t>
  </si>
  <si>
    <t>Bean aphid</t>
  </si>
  <si>
    <t>Spray any of the following insecticides (solution volume 500 liters per hectare): Methyl demitan 25 EC 500 ml / ha Dimethoate 30 EC 500 ml / ha</t>
  </si>
  <si>
    <t>Leaf hopper</t>
  </si>
  <si>
    <t>Spray with 750 ml of Methyl O Demoton in 700 to 1000 liters of water per hectare.</t>
  </si>
  <si>
    <t>White fly</t>
  </si>
  <si>
    <t>Spray any of the following insecticides at an interval of fifteen days with 5% neem nut juice or 3% neem oil: Imidacloprid 17.8 SL 125 ml/ha or Acetamiprid 20% SP 100 g/ha</t>
  </si>
  <si>
    <t>Eriphyod mite</t>
  </si>
  <si>
    <t>Use any of the following insecticides: Dicofol 18.5 EC 1.0 liter or Dimethoate 30 EC 1.0 liter or Phosalone 35 EC 1.0 liter mixed with 700 liters of water per hectare and spray.</t>
  </si>
  <si>
    <t>Leaf webber</t>
  </si>
  <si>
    <t>Set up a light trap at ground level between 8 pm and 11 pm. Spray one of the following insecticides per hectare: Methyl Dimeton 25 EC 1000 ml or Quinalphos 25 EC 1400 ml.</t>
  </si>
  <si>
    <t>Leaf roller</t>
  </si>
  <si>
    <t>Spray any of the following insecticides: Methyl Dimeton 25 EC 1000 ml/ha or Quinalphos 25 EC 1400 ml/ha with 5% neem nut juice or 3% neem oil.</t>
  </si>
  <si>
    <t>Lab lab leaf miner / bean leaf miner</t>
  </si>
  <si>
    <t>Use any one of the following insecticides: Flubendiamide 39.35% SC 150 ml / ha Indoxacarb 15.8% EC 330 ml / ha Propenophos 50% EC 1.0 l / ha</t>
  </si>
  <si>
    <t>Blister beetle</t>
  </si>
  <si>
    <t>Deep ploughing of fields in summer, timely sowing, collection and destruction of mature larvae and beetles, spraying of neem seed kernel juice (25 kg/ha)</t>
  </si>
  <si>
    <t>Flower webber</t>
  </si>
  <si>
    <t>Set up a light trap at ground level between 8 pm and 11 pm. Spray one of the following insecticides per hectare: Methyl Dimeton 25 EC 1000 ml Quinalphos 25 EC 1400 ml</t>
  </si>
  <si>
    <t>bean aphid</t>
  </si>
  <si>
    <t>Bait traps can be used to control the pest by placing 12 traps per ha. Bacillus thuringiensis var. kurstaki 5% W.S.P 1000-1250 gm/ha or any of the following insecticides: Azadirachtin 0.03% W.S.P 2500-5000 gm/ha Chlorpyrifos 20 EC 1250 ml/ha</t>
  </si>
  <si>
    <t>Spray one of the following insecticides Thiodicarb 75% WP 625 g/ha Chlorantraniliprole 18.5% SC 100 ml/ha</t>
  </si>
  <si>
    <t>Collect and destroy larvae and adult insects. Use 5 traps per hectare at 50 meter intervals. Control can be achieved by spraying neem seed extract 5% twice followed by Trisophos 0.05%/hectare.</t>
  </si>
  <si>
    <t>Grass blue butterfly</t>
  </si>
  <si>
    <t>Selectively kill larvae, pupae and adults. Use any of the following insecticides: Azadirachtin 0.03% WSP 2500-5000 g/ha Chlorpyrifos 20 EC 1250 ml/ha</t>
  </si>
  <si>
    <t>Spray one of the following insecticides: Neem seed extract 5% (a) Imidacloprid 70% WG @ 30-35 gm/ha (a) Propenophos 50% EC 1000 ml/ha (a) Acetamiprid 20% SP 50 gm/ha</t>
  </si>
  <si>
    <t>Spray one of the following insecticides: Dimethoate 30% EC 500 ml/ha Methyl Demeton 25% EC 500 ml/ha</t>
  </si>
  <si>
    <t>Monitoring with 12 numbers of yellow sticky traps per hectare Spray neem seed kernel extract 5% or neem oil 3% with any of the following insecticides at an interval of fortnight Imidacloprid 17.8 SL 125 ml/ha or Dimethoate 30% EC 500 ml/ha</t>
  </si>
  <si>
    <t>Deep ploughing of fields in summer, timely sowing, collection and destruction of mature larvae and beetles, spraying neem nut juice at 5% (25 kg/ha)</t>
  </si>
  <si>
    <t>Use any one of the following insecticides Azadrezide 0.03% WSP 2500-5000 g/ha Chlorpyrifos 20 EC 1250 ml/ha Emamectin Benzoate 5% SG 220 g/ha</t>
  </si>
  <si>
    <t>Deep ploughing of fields in summer, timely sowing, collection and destruction of mature larvae and beetles, spraying of neem nut juice at 5% (25 kg/ha)</t>
  </si>
  <si>
    <t>Aphid Spray one of the following insecticides: Neem seed extract 5% (a) Imidacloprid 70% WG @ 30-35 g / ha (a) Propenophos 50% EC 1000 ml / ha (a) Acetamiprid 20% SP 50 g / ha</t>
  </si>
  <si>
    <t>Spray any of the following insecticides at an interval of fifteen days: Imidacloprid 17.8 SL 125 ml / ha (or) Acetamiprid 20% SP 100 g / ha</t>
  </si>
  <si>
    <t>Semi looper caterpillar</t>
  </si>
  <si>
    <t>Cut worm</t>
  </si>
  <si>
    <t>Spray one of the following insecticides Chlorpyrifos 20 EC 3750 ml/ha Diflubenzuron 25% WP 300-350 gm/ha Chlorantraniliprole 18.5% SC @ 150 ml/ha</t>
  </si>
  <si>
    <t>Kiss</t>
  </si>
  <si>
    <t>Termites</t>
  </si>
  <si>
    <t>Treat the seed with 4 ml of chloropyriphos per kg of seed and sow. Remove crop residues immediately and keep the land clean. Destroy termite mounds.</t>
  </si>
  <si>
    <t>Aphids</t>
  </si>
  <si>
    <t>Spray any one of the following insecticides
Chlorpyrifos 20% EC 1000 ml /ha
Imidacloprid 17.8% SL100-125 ml /ha</t>
  </si>
  <si>
    <t>Red Hairy caterpillars</t>
  </si>
  <si>
    <t>Small holes of 30 cm depth and 25 cm width can be dug around the field to kill the worms
Spray any of the following insecticides:
Phazalon 35 EC 750 ml/ha mixed with 375 liters of water Dichlorvos 76 EC 627 ml/ha</t>
  </si>
  <si>
    <t>Groundnut leaf miner</t>
  </si>
  <si>
    <t>You can set up a light trap at a rate of 12 per hectare to attract and destroy the weevil.
Spray any of the following insecticides:
Dimethoate 30 EC 660 ml/hectare
Malathion 50 EC 1.25 ml/hectare</t>
  </si>
  <si>
    <t>Bihar hairy caterpillar</t>
  </si>
  <si>
    <t>Weeds should be collected and removed.
Crops such as cotton, castor and wild castor can be grown as attractants in the field margins to collect and destroy the hairworm.
Spray any of the following insecticides: Phasalon 35 EC 750 ml/ha mixed with 375 liters of water Dichlorvos 76 EC 627 ml/ha.</t>
  </si>
  <si>
    <t>Jassids</t>
  </si>
  <si>
    <t>The land should be kept clean.
Crop rotation should be practiced.
Growing rice as an intercrop can control the powdery mildew.
Spray 650 ml of dimethoate mixed with 600 liters of water per hectare.</t>
  </si>
  <si>
    <t>The male moth can be controlled by setting 5 traps per hectare to attract and kill the male moth.
The egg parasite Trichochroma kylanis can be controlled by placing 12 traps per hectare. Bacillus thuringiensis var. kurstaki 5% W.S.P 1000-1250 gm/ha or any of the following insecticides Azadrestin 0.03% W.S.P 2500-5000 gm/ha Chlorpyrifos 20 EC 1250 ml/ha</t>
  </si>
  <si>
    <t>Jewel Beetle</t>
  </si>
  <si>
    <t>Deep ploughing of fields should be done in summer. Collect and destroy the mature larvae and beetles. Spray neem seed kernel juice (25 kg/ha).</t>
  </si>
  <si>
    <t>Tobacco caterpillar</t>
  </si>
  <si>
    <t>You can set up a light trap to attract and destroy the moth.
Castor oil can be planted as a trap crop. You can collect the egg masses and larvae by hand and destroy them.
Spray any of the following insecticides:
Quinalphos 25 EC 750 ml / ha Dichlorvos 76WSC 750 ml / ha</t>
  </si>
  <si>
    <t>Groundnut bud borer</t>
  </si>
  <si>
    <t>The mature larvae can be controlled by spraying 3% neem oil (or 5% fenugreek juice).
The larvae of the weevil can be destroyed by using the larval parasite Brachymeria.</t>
  </si>
  <si>
    <t>Shoot and Leaf webber</t>
  </si>
  <si>
    <t>Spray either neem seed kernel extract 5% or neem oil 2% at an interval of fortnight. Spray insecticide Carbaryl 50 WP @ 1000 gm/ha mixed in 500 liters of water.</t>
  </si>
  <si>
    <t>Whitefly</t>
  </si>
  <si>
    <t>Spray 5% neem nut juice or 3% neem oil with any of the following insecticides at an interval of fifteen days: Methyl demitan 25% EC 1200 ml/ha or Quinalphos 25% EC 2 l/ha</t>
  </si>
  <si>
    <t>Pod borer</t>
  </si>
  <si>
    <t>Spray either 5% neem seed kernel extract or 2% neem oil at an interval of fortnight. Spray insecticide Carbaryl 50 WP @ 1000 gm/ha mixed with 500 liters of water.</t>
  </si>
  <si>
    <t>APHIDS</t>
  </si>
  <si>
    <t>Seeds treated with imidochlorbid (5 kg/kg seed) should be sown. After 20, 40 and 60 days of planting, spray (or) paint the stem with a mixture of Monocrotophos and water in the ratio of 1:4 or imidochlorbid and water in the ratio of 1:20.</t>
  </si>
  <si>
    <t>Capitulum borer (Head borer)</t>
  </si>
  <si>
    <t>Parasites such as Trichogramma (20,000/acre) Bracon species, Campoletis species can be released in the field.
H. N. PV 250 LE + PD 0.5 kg/ha can be sprayed.</t>
  </si>
  <si>
    <t>Serpentine leaf miner</t>
  </si>
  <si>
    <t>Mix 5% neem nut juice (or) 2.5 ml of Trichophos in 1 liter of water and spray.</t>
  </si>
  <si>
    <t>Capsule Borer</t>
  </si>
  <si>
    <t>Spray Malathion 50 EC 2.0 l/ha three times at three week intervals from the moment of flowering.</t>
  </si>
  <si>
    <t>Semiloopers / Castor bean borer</t>
  </si>
  <si>
    <t>Spray one of the following insecticides three times from flowering at an interval of three weeks.
Malathion 50 EC @ 2000 ml/ha
Dimethoate 30 EC @ 825 ml/ha
Neem seed kernel extract 5% + 2% Neem oil</t>
  </si>
  <si>
    <t>jassid moth</t>
  </si>
  <si>
    <t>The land should be kept clean and crop rotation should be practiced. Seed treatment with either of these chemicals, such as imidacloprid (or carbosulfan), can be done before planting. Spraying 0.05% dimethoate can control the attack of sap-sucking insects.</t>
  </si>
  <si>
    <t>American boll worm</t>
  </si>
  <si>
    <t>Spray NPV virus at 250 ml/ha in the evening during the 7th and 12th weeks. Apply Trichogramma 6.25 cc/ha three times at 15-day intervals after 45 days of sowing. During fruiting and fruit ripening season, spray Imamectin Panzote 5% SG 190-220 gms or Bifronil SC 2000 ml/ha.</t>
  </si>
  <si>
    <t>To detect and control the movement of whitefly, yellow sticky traps can be placed at a rate of 12/ha on the 60th and 90th day after sowing. Spray with 10 ml of Bupropion 25% SC in 10 liters of water to overcome the economic damage level.</t>
  </si>
  <si>
    <t>Pink bollworm</t>
  </si>
  <si>
    <t>To monitor the movement of young red pod borer, set 12 traps per hectare. Spray Imamect Benzoate 5% SG 190 – 220 kg or Chlorpyrifos 50% EC 1000 – 1200 ml per hectare.</t>
  </si>
  <si>
    <t>Treat the seeds by mixing 7 grams of Imidacloprid 70 WS per kg of seed. Yellow sticky traps can be placed at a rate of 12/ha. After eight weeks, spray Azadirachtin 0.03% EC 2500 ml or Bupropion 25%SC 1000 ml per hectare.</t>
  </si>
  <si>
    <t>shoot borer</t>
  </si>
  <si>
    <t>Apply 30 kg of Carbofuran 3G to the soil on the 20th day. Apply 25 tons/ha of manure or 250 kg/ha of neem meal as a base.</t>
  </si>
  <si>
    <t>mealy bug</t>
  </si>
  <si>
    <t>Remove weeds and grasses in the field. Spray any of the following insecticides (per acre) Propenophos 50EC 1.25 liters Neem oil 2% (20 ml/liter) Neem seed extract 5% (50 g/liter) Fish oil soap 25 g / liter</t>
  </si>
  <si>
    <t>red cotton bug</t>
  </si>
  <si>
    <t>The field should be plowed, the eggs should be exposed in the soil, and the eggs should be destroyed.</t>
  </si>
  <si>
    <t>shoot weevil</t>
  </si>
  <si>
    <t>To prevent the eggs from laying on the stem near the ground, mulch the soil. Apply 25 tons of manure per hectare and 250 kg of neem cake as a base. After this, spray Chlorpyrifos 50 EC 1200 ml per hectare on the 15th and 20th day to wet the base of the stem and mulch the soil.</t>
  </si>
  <si>
    <t>leaf hopper</t>
  </si>
  <si>
    <t>Remove weeds and grasses in the field. Spray Imidacloprid 40 SL 600 (ml/ha) or Neem seed extract 5% 25 (kg/ha). When the pest infestation is heavy, spray Neem oil mixture 0.5% or Neem oil 3% at an interval of once in two weeks.</t>
  </si>
  <si>
    <t>Avoid excessive nitrogen or ammonium fertilization. Do not use pest-infested tubers as planting material. Spray Monocrotophos 36%SL @ 1.50 lit per hectare.</t>
  </si>
  <si>
    <t>internode borer</t>
  </si>
  <si>
    <t>On the 150th and 210th day after planting, the sod should be peeled and spread on the soil or buried. The egg parasite Trichogramma chilonis should be applied to the field at the rate of 2.5 cc per hectare every 15 days from the fourth month.</t>
  </si>
  <si>
    <t>Early shoot borer</t>
  </si>
  <si>
    <t>Release 125 females of Sturmiopsis inferens gravid per acre of land on the 30th and 40th day after planting. Or spray neem seed solution 5% or chlorantraniprole 0.4% G @ 18.75 g or bipronil 5% SC @ 1.5 lit per hectare.</t>
  </si>
  <si>
    <t>scale insects</t>
  </si>
  <si>
    <t>Select seed tubers free from scale insects and soak them in hot water before planting. Ensure that the field does not remain waterlogged for a long time. Weeding is necessary at 150 - 210 days. This should be followed by row-wise tillage. Spray Monocrotophos 36%SL @ 1.50 l per hectare.</t>
  </si>
  <si>
    <t>white grub</t>
  </si>
  <si>
    <t>Crop rotation, deep ploughing during summer, avoid re-cropping in the affected field, and provide adequate irrigation. Use Quinalpas 5G @ 25 kg/ha. Biological method: Spray 2.5 kg Beauveria brongniortii per hectare mixed with manure on the areas affected by the gray beetle.</t>
  </si>
  <si>
    <t>top borer</t>
  </si>
  <si>
    <t>The pre-larval parasite Camproides (Isothyma) javansis can be released in the field at a rate of 100 pairs/ha. Collect the egg masses that are not destroyed by the parasites and place them in 30 mesh nylon bags to kill the young larvae that emerge from the eggs. Spray Chlorintraniliprole 18.5% SC @ 375 mL per hectare.</t>
  </si>
  <si>
    <t>1. Collect and destroy the pierced leaves.
2. Spray 3% neem extract.</t>
  </si>
  <si>
    <t>Fruit Borer</t>
  </si>
  <si>
    <t>1. Collect and destroy the affected fruits and the mature larvae.
2. Forty days old African tall marigold plants can be planted as an attractant crop in 16 rows of tomato plants, 1 plant per 3 rows of Heliur, 12 eggs per hectare, and the parasitic wasp Trichogramma peridotsum, 1,00,000 per hectare, should be applied once a week.</t>
  </si>
  <si>
    <t>Budworm Budworm</t>
  </si>
  <si>
    <t>Budworm</t>
  </si>
  <si>
    <t>Fruit borer Kaipuzhu</t>
  </si>
  <si>
    <t>Kaipuzhu</t>
  </si>
  <si>
    <t>Shoot and fruit borer</t>
  </si>
  <si>
    <t>1. Collect and destroy infected or damaged young shoots or shoots.
2. Avoid continuous cultivation of eggplant in the same field.
3. In areas with high infestation, plant varieties with long and narrow pods.
4. Set up and plant 12 traps per hectare.
5. Use traps against Pristomerus testusius and Ceramestus bellavoryptelli.</t>
  </si>
  <si>
    <t>1. Collect and destroy damaged and dead plants.
2. Set up one light trap per hectare to collect and destroy the insects.
3. Spray neem oil @ 2 millitre.
4. Avoid using synthetic pyrethroids.</t>
  </si>
  <si>
    <t>Yellow mosaic virus</t>
  </si>
  <si>
    <t>Y.M.V.</t>
  </si>
  <si>
    <t>Chilli thrips</t>
  </si>
  <si>
    <t>1. Intercrop with agathisia as its shade regulates the population of chilli aphids.
2. Chilli should not be cultivated immediately in the land where corn has been cultivated.
3. Onion should not be intercropped with chilli.
4. Spraying water on the surface of the seedlings controls the growth of aphids.
5. Spraying water on the seedlings controls the growth of aphids.</t>
  </si>
  <si>
    <t>Yellow mite or muranai mite</t>
  </si>
  <si>
    <t>1. Increase the movement of the spider mite Amlicius ovalis in the field.
2. Spray borate 10% @10 kg/ha or
* Propycin 25% SC 8.0 ml/10 l
* Chlorbenapyr 10% SC 1.5 ml/l</t>
  </si>
  <si>
    <t>Gram caterpillar</t>
  </si>
  <si>
    <t>Collect and destroy damaged pods and mature larvae.
Place 15 traps of “Heliur” per hectare.
Apply 50,000 eggs of the parasite Trichogramma chylonis per hectare six times a week.
Apply 50,000 eggs or larvae of the parasite Chrysoperla cornea 30 days after sowing at a rate of 50,000 eggs or larvae at a weekly interval.</t>
  </si>
  <si>
    <t>Leaf Miner</t>
  </si>
  <si>
    <t>In the evening, chlorpyrifos 20 EC should be sprayed at a rate of 1250 ml per hectare.</t>
  </si>
  <si>
    <t>Cut worms</t>
  </si>
  <si>
    <t>During the fallow period, the soil should be thoroughly stirred to expose and destroy the worms.
The queen bees should be lured with a light trap and destroyed.
In places where there is rotary sprinkler irrigation, the sprinkler should be operated in the morning. The speed of the water will cause the worms to emerge from the soil and become prey for the birds.
Mix one liter of chlorpyrifos with water and spray the stems of the plants.</t>
  </si>
  <si>
    <t>Nematodes</t>
  </si>
  <si>
    <t>Non-potato crops such as wheat, maize, beans should be grown. Or, crop rotation should be done with vegetable crops such as cabbage, cauliflower, carrots, radishes, beans, etc.
Before sowing, the seed tubers should be soaked in carbofuran solution and sown.
The seed tubers should be cleaned before sowing.</t>
  </si>
  <si>
    <t>Potato tuber moth</t>
  </si>
  <si>
    <t>When planting new tubers, they should be planted very deeply. Also, the mother moths can be attracted and destroyed by using attractants. To prevent damage to the leaves, 5% neem juice (a) 2 ml of quinalphos should be mixed in one liter of water and sprayed. The seed tubers used for planting should be planted by mixing one kg of quinalphos with 100 kg of tubers.</t>
  </si>
  <si>
    <t>spiralling white fly: Alirodychus dispersus</t>
  </si>
  <si>
    <t>Abutilon indicum plants should be removed from the field. Whitefly can be controlled by using 12 yellow sticky traps/ha.</t>
  </si>
  <si>
    <t>white fly</t>
  </si>
  <si>
    <t>Whitefly can be controlled by using 12 numbers/ha yellow sticky traps. Spray any of the following insecticides: Phaselon 35 EC @2.5 liters/ha; Quinalphos @2.0 liters/ha; Triazophos @2.0 liters/ha; Neem oil 3%; Methyldemedone 25 EC 2 ml/l.</t>
  </si>
  <si>
    <t>mite spider mite</t>
  </si>
  <si>
    <t>Spray Ticopol 18.5 EC 2.5 ml/l in the third and fifth months to wet the leaves thoroughly.</t>
  </si>
  <si>
    <t>Spray Thiomethaxom 25 WG-5 gm per 10 liters of water or Flonicamid 50 WG-3 gm per 10 liters of water or Spirotetramat 1500D-1.25 ml per 1 liter of water. Spray with Azathractin 1500 ppm/5 ml per liter of water to control mealybug infestation naturally.</t>
  </si>
  <si>
    <t>Hopper</t>
  </si>
  <si>
    <t>Mix 1.5 ml of Basalon 35 EC in 1 liter of water and spray it well on the branches, stems, and leaves of the tree or mix 2 grams of 50% Carboryl wettable powder with 2 grams of wettable sulfur in one liter of water.</t>
  </si>
  <si>
    <t>Leaf galls and Aphids</t>
  </si>
  <si>
    <t>Spray with either dimethoate or methyl dimethoate at a ratio of 2 ml per liter of water.</t>
  </si>
  <si>
    <t>Anthracnose Fruit rot</t>
  </si>
  <si>
    <t>Fruit rot</t>
  </si>
  <si>
    <t>Red ant Red ant</t>
  </si>
  <si>
    <t>Red ant</t>
  </si>
  <si>
    <t>Nut Weevil</t>
  </si>
  <si>
    <t>The bark of the tree should be slightly carved and removed at a height of about 1 meter from the ground level, a little wet cotton should be placed in between, 10 ml of Monocrotophos should be applied until the cotton is wet, then the bark should be fixed to the tree and covered with clay glue. 5 g of Carbofuran should be placed in the hole in the trunk of the tree and covered with clay.</t>
  </si>
  <si>
    <t>Fruit fly</t>
  </si>
  <si>
    <t>Summer ploughing brings the soil-borne maggots to the surface, where they are destroyed by sunlight. The affected fruits that have fallen under the tree should be collected and destroyed. Mix one ml of methyl eugenol in one litre of water and one ml of malathion to make a total of 100 ml in a bottle and place it in 25 places per hectare. The insects will be attracted by this liquid. Then they should be collected and destroyed.</t>
  </si>
  <si>
    <t>Lace wing Bug</t>
  </si>
  <si>
    <t>Collect and destroy the affected leaves, flowers, and fruits. Use yellow sticky traps (15/ha) to control the pest. Spray Dimethoate 30 EC 850 ml/ha to control the pest.</t>
  </si>
  <si>
    <t>Corm weevil</t>
  </si>
  <si>
    <t>When planting, choose seedlings that are not affected by pests. Do not replant banana in the affected areas and alternate. Avoid planting varieties such as Robusta, Karpooravalli, Malbok, Samba and Adukar. Varieties that are less susceptible to pests such as Bhoovan, Kathali, Kunnan, Poomkali can be planted. Cosmoliur traps can be placed at the rate of 5 per hectare. The stems can be cut into small pieces and piled up to attract and destroy the beetles. Large-headed ants (Pedol magnocephala) and Tetramorium species can eat eggs and larvae. Insecticidal fungi such as Peveria pachyana and Metarhizium anisophile kill 90 percent of this beetle. Nematodes such as Steinerma and Heteroraptis species also attack the cone beetle and its larvae. Applying 60-100 g of neem powder or neem pulp at the time of planting the tubers and once after 4 months reduces the pest attack and gives good yield. Applying more than 100 g or neem oil may affect the banana crop itself. Pramon or species attractant traps can be placed at a rate of 25 per hectare. In a round-shaped stem trap, the tuber is cut instead of the stem, so the cone beetles are attracted by this smell and come to the area to lay eggs and feed. These larvae can be collected and destroyed. The amount used is as effective as the amount used. Banana long stem attractant traps can be used at a rate of 100 per hectare.</t>
  </si>
  <si>
    <t>Stem weevil</t>
  </si>
  <si>
    <t>The dry leaves should be removed from time to time and the land should be kept clean. Every month, the side shoots should be pruned and the affected areas should be uprooted and destroyed. After harvesting, after uprooting and destroying the stems, the bunches should be removed by hand, thereby preventing the growth of other beetles. In places where the beetles are found in large numbers, the method of spreading the leaves as fertilizer after harvesting can be avoided. The cut (lengthwise) area should be treated with 20 kg of Peveria pasiana fungus or Heptero raphetitis indica nematode. These beetles will die due to the disease. The stem that is split lengthwise is engraved. This trap (45 cm long) is prepared by splitting the banana stem in two lengthwise. These traps are placed in the field at a rate of 25 per acre to control the beetles.</t>
  </si>
  <si>
    <t>Banana Aphid</t>
  </si>
  <si>
    <t>The land should be kept clean during cultivation. Good saplings should be selected to avoid pest attacks. The affected tree should be destroyed along with the tuber. If banana leaves and flowers are kept in 49°C water for 10 minutes, the aphids will die. Release the protozoan parasite Lysimelipius testaceipus in the field. In addition, trap beetles, glass fiber moths, etc., are very fond of aphids. The fungus Beveria bassiana can also be released in the banana field.</t>
  </si>
  <si>
    <t>One kilogram of neem powder soaked in 20 liters of water overnight, filtered and sprayed can control leaf borers.</t>
  </si>
  <si>
    <t>Sucking pests</t>
  </si>
  <si>
    <t>Whitefly: Spray 2 ml of quinalphos mixed with one liter of water. Spider mite: Spray 2.5 ml of tychopol or 2 grams of wettable powder mixed with one liter of water.</t>
  </si>
  <si>
    <t>Shoot borer</t>
  </si>
  <si>
    <t>Branches with worms and larvae should be removed.</t>
  </si>
  <si>
    <t>Fruit sucking moth</t>
  </si>
  <si>
    <t>To control this, weeds should be removed and kept clean. Mix one ml of malathion per liter of water and sugarcane mill waste and place it in several places in the garden to attract and repel moths. Light traps can be used to attract and destroy moths.</t>
  </si>
  <si>
    <t>To prevent nematode infestation in seedlings, one gram of carbofuran 3G granules should be placed in a polythene bag.</t>
  </si>
  <si>
    <t>Bud worm</t>
  </si>
  <si>
    <t>It can be controlled by spraying Basalon 35 EC 2 ml/liter (a)/(a) 5 percent neem juice.</t>
  </si>
  <si>
    <t>Spray Basalon 35 EC 2 ml/litre.</t>
  </si>
  <si>
    <t>Hairy caterpillars</t>
  </si>
  <si>
    <t>Spray Chlorpyrifos 20 EC (or) Phasalone 35 EC at 2 ml/litre of water.</t>
  </si>
  <si>
    <t>Magnesium Deficiency in Guava</t>
  </si>
  <si>
    <t>Apply foliar spray of magnesium sulphate 2% at two-week intervals.</t>
  </si>
  <si>
    <t>Tea mosquito bug</t>
  </si>
  <si>
    <t>Spray one ml of malathion per liter of water. Spraying neem oil at a concentration of 3 percent can prevent insects from entering. Avoid harvesting fruits immediately from trees that have been sprayed with this medicine.</t>
  </si>
  <si>
    <t>Dimethoate should be sprayed at a rate of 2 ml per liter of water.</t>
  </si>
  <si>
    <t>Malathion 50 EC should be sprayed four times at any interval.</t>
  </si>
  <si>
    <t>Your crop is affected by tea leafhoppers - Spray imidacloprid at a rate of 1 ml per liter of water.</t>
  </si>
  <si>
    <t>Leaf spot disease</t>
  </si>
  <si>
    <t>Spray Tithane M 45 @ 0.2%</t>
  </si>
  <si>
    <t>Rugose Spiraling White fly</t>
  </si>
  <si>
    <t>Setting up yellow sticky traps at 5% per acre. Release of Chrysoperla predatory insects at 400% per acre. Release of Encarsia egg parasites at 200% per acre. Spraying of 1% Azathyrectin mixed with 2 ml in 1 liter of water can be used for control.</t>
  </si>
  <si>
    <t>tanjore wilt root rot disease</t>
  </si>
  <si>
    <t>Pseudomonas fluorescens (PF-1) can be applied at the rate of 200 g per tree along with 200 g of Trichoderma viridi. 200 g of Phosphobacter, 200 g of Azotobacter can be applied mixed with 50 kg of manure. The sap-exuding parts of the stem can be cut and protected with Tritimorph 5%. 2 g of Aureofungin + 1 g of Copper Sulphate + 100 ml of water or 2 ml of Tritimorph + 100 ml of water or 1 ml of Hexaconazole + 100 ml of water can be applied through the roots.</t>
  </si>
  <si>
    <t>ERIOPHID MITE</t>
  </si>
  <si>
    <t>Round 1: Azadirachtin 1% (5 ml / 1 liter of water). Round 2: Neem oil + Teepol (30 ml / 1 liter of water). Also Triazophos 40 EC 5 ml/l (or) Monocrotophos 36 WSC 2 ml/l (or) Carbosulfan 25 EC. Mix 2 ml/l of any of the drugs with Neem Azal 1% i.e. 5 ml/l and apply it to the soil near the roots. Neem powder 5 kg / per tree / per year.</t>
  </si>
  <si>
    <t>Rhinoceros beetle</t>
  </si>
  <si>
    <t>When the attack of the beetle increases, it should be killed by piercing it with a wire or a pin. The impact of the beetle can be prevented by applying any of the following drugs to the mid-bud (kondai) of the cotton stalks. Apply a mixture of sand + neem meal in the ratio of 1:1 in the stalks. Apply 3 times a year. b) Cover a 10-5 kg ball of the moth with sand. Place this in the young cotton stalks once in 45 days. The attractant trap called Rinoliur can be placed at the rate of 5 per hectare.</t>
  </si>
  <si>
    <t>Red palm weevil</t>
  </si>
  <si>
    <t>Check the holes in the affected trees and plug them except the one at the top. Then pour 1% carboryl (20g/l) (or) 0.2% trichlorfon at the rate of 1 l per tree through a funnel through these holes and plug the holes. Repeat after 1 week if necessary. Set up the trap at the rate of one trap per hectare.</t>
  </si>
  <si>
    <t>bag worm</t>
  </si>
  <si>
    <t>The coconuts should be well looked after and if there are any immature larvae, they should be collected and destroyed. Carbaryl 50 WP can be sprayed at a rate of 2 kg/l. This can also be controlled by spraying Dichlorvos 76 WSC at a rate of 2 ml/l. The weevil can be attracted and destroyed by using a light trap. 5 traps are required per hectare.</t>
  </si>
  <si>
    <t>Band</t>
  </si>
  <si>
    <t>C031</t>
  </si>
  <si>
    <t>Brown spot</t>
  </si>
  <si>
    <t>Spray Metiminostrophin @ 500 ml/ha after observing the initial infection of the disease</t>
  </si>
  <si>
    <t>Sheath rot</t>
  </si>
  <si>
    <t>First spray at the time of disease emergence and second spray after 15 days with carbendazim 500 g/ha or metominostrophin @ 500 ml/ha and hexaconazole 75% WG @ 100 mg/lit.</t>
  </si>
  <si>
    <t>Sheath blight</t>
  </si>
  <si>
    <t>Apply Pseudomonas fluorescens @ 2.5 kg/ha as soil application. (This should be mixed with 50 kg of farmyard manure/sand). Treat the seeds with 10 ml of liquid Pseudomonas fluorescens/kg of seed. Spray Pseudomonas fluorescens (at 0.2% concentration) as foliar application.</t>
  </si>
  <si>
    <t>False smut</t>
  </si>
  <si>
    <t>To prevent fungal diseases during the leaf and milky seasons, spray either “Copper Oxyfluoride 2.5 g/liter” or “Propiconazole” 2 ml/liter.</t>
  </si>
  <si>
    <t>Leaf streak</t>
  </si>
  <si>
    <t>Avoid excessive application of fertilizers. Treat the seeds with carbendazim. Apply either mancozeb or copper oxychloride as foliar fertilizer.</t>
  </si>
  <si>
    <t>Grain discoloration</t>
  </si>
  <si>
    <t>Avoid applying excessive nitrogen fertilizers. Spray Carbendazim + Thiram + Mancozeb (1 : 1 : 1) at 0.2 percent during the flowering season.</t>
  </si>
  <si>
    <t>Rice Tungro disease</t>
  </si>
  <si>
    <t>Spray 2% urea mixed with 2.5 g/liter mancozeb. Keep 2.5 cm of water in the nursery. Spray Carbofuran 3 G 3.5 kg (or) Phorate 10 G 1 kg 20 cm in the nursery.</t>
  </si>
  <si>
    <t>White tip nematode</t>
  </si>
  <si>
    <t>Spray Parathion (Folidol) 0.05 or Metasystox 0.1%.</t>
  </si>
  <si>
    <t>Blast</t>
  </si>
  <si>
    <t>Water should be stored in an area of 25 square meters to a depth of 2.5 cm. Sprinkle 2.5 kg of Pseudomonas fluorescence powder in this stored water and soak the roots in it for 30 minutes before planting. Spray 500 ml/ha of Metaminostropon or 500 ml/ha of Azoxystropon and PF-1 mixture of T.M.W. University. After 45 days of planting, spray 0.5% Pseudomonas fluorescence powder three times at an interval of 10 days.</t>
  </si>
  <si>
    <t>Bacterial Leaf blight</t>
  </si>
  <si>
    <t>Spray 20% fresh cow dung extract twice (starting from the onset of the disease and at an interval of fifteen weeks) or spray twice with copper hydroxide 77 WP @ 1.25 kg/ha after 30 and 45 days followed by Streptomycin sulphate + Tetracycline mixture @ 300 gm + Copper oxychloride @ 1.25 kg/ha.</t>
  </si>
  <si>
    <t>Grassy Stunt</t>
  </si>
  <si>
    <t>Rice varieties with genetic traits IR 26, IR 64, IR 36, IR 56, and IR 72 should be cultivated. Other alternative crops in the field and the crop residues should be destroyed by thorough ploughing. Any of the following insecticides should be applied for control: Phosphomidon 40 SL 1000 ml/ha (a); Phasalon 35 EC 1500 ml/ha (a).</t>
  </si>
  <si>
    <t>Bakanae disease</t>
  </si>
  <si>
    <t>Remove the weak infected seeds from the seed bed using salt water. Before sowing, treat the seeds with Thiram 4 g/kg of seed or Carbendazim 2 g/kg of seed. Treat the seeds with insecticides such as Thiophenad-methyl or Benomyl.</t>
  </si>
  <si>
    <t>Nitrogen deficiency in rice</t>
  </si>
  <si>
    <t>Apply 330 kg urea per hectare in three divided doses (110 kg/acre). Dissolve 10 g urea in 1 liter of water and spray at 10-day intervals until symptoms disappear.</t>
  </si>
  <si>
    <t>sulphur deficiency</t>
  </si>
  <si>
    <t>Ammonium sulphate should be applied instead of urea (330 kg ha). In case of severe deficiency, foliar application of sulphur solution (10 gm per litre of water) should be done.</t>
  </si>
  <si>
    <t>manganese deficiency</t>
  </si>
  <si>
    <t>Dissolve 5 grams of manganese sulfate in one liter of water and spray at 15-day intervals until symptoms disappear.</t>
  </si>
  <si>
    <t>Magnesium deficiency in rice</t>
  </si>
  <si>
    <t>Dissolve 5 grams of magnesium sulfate in one liter of water and spray during the flowering and earing seasons until the symptoms disappear.</t>
  </si>
  <si>
    <t>Potassium deficiency in rice</t>
  </si>
  <si>
    <t>Dissolve 5 grams of potassium chloride in one liter of water and spray at 15-day intervals until symptoms disappear.</t>
  </si>
  <si>
    <t>Boron deficiency in rice</t>
  </si>
  <si>
    <t>Apply 10 kg of borax fertilizer per hectare as a base dressing or spray 0.2% (2 g/liter) borax solution on the crops.</t>
  </si>
  <si>
    <t>Phosphorus deficiency in rice</t>
  </si>
  <si>
    <t>Soak 6 kg of superphosphate in 100 liters of water overnight. Mix well the next day, then strain it in the morning and spray it on the crops twice at an interval of 10 days.</t>
  </si>
  <si>
    <t>Calcium deficiency in rice</t>
  </si>
  <si>
    <t>For lime deficiency, lime chloride or calcium should be sprayed immediately as a foliar spray. Use lime in alkaline soils with high lime deficiency. (A-D): Lands with salinity and high ash content</t>
  </si>
  <si>
    <t>Downy mildew</t>
  </si>
  <si>
    <t>If there is a severe infestation in the crops, spray Mancozeb at the rate of 2 g/liter.</t>
  </si>
  <si>
    <t>blast disease</t>
  </si>
  <si>
    <t>Spray Pseudomonas fluorescens (Pf1) @ 2 g/litre of water. Spray the second and third sprays at the time of flowering at an interval of 15 days. Spray Carbendazim @ 500 g or Iprobenphos (IPB) @ 500 ml/ha.</t>
  </si>
  <si>
    <t>Head Smut</t>
  </si>
  <si>
    <t>To prevent this disease, sow seeds mixed with 2 grams of Carboxin / Vitavax per 1 kg of seed. Spray Mangocem at a rate of 1000 gm/hectare.</t>
  </si>
  <si>
    <t>Downy Mildew</t>
  </si>
  <si>
    <t>1. Remove the affected crops 45 days after sowing. 2. Treat the seeds with Metalaxyl @ 6 gm per kg of seeds. Follow this by spraying Metalaxyl @ 500 gm or Metalaxyl + Mancozeb @ 1 kg/ha.</t>
  </si>
  <si>
    <t>leaf blight</t>
  </si>
  <si>
    <t>Apply Pseudomonas fluorescens or Trichoderma viridi @ 2.5 kg/ha + 50 kg of well-rotted manure (use after 10 days) or mixed with sand 20 days after planting. Spray Metaxyl @ 1000 kg/ha Mangosme @ 2 g/litre at 10 days interval as soon as symptoms appear.</t>
  </si>
  <si>
    <t>charcoal rot</t>
  </si>
  <si>
    <t>1. Crop rotation should be done. 2. In areas where it appears throughout the year, application of 80 kg / ha of potash reduces disease damage. 3. Apply Pseudomonas fluorescens or Trichoderma viridi 2.5 kg / ha + 50 kg of composted manure (use after 10 days) or mixed with sand and apply in the field 20 days after planting.</t>
  </si>
  <si>
    <t>ergot or sugary disease</t>
  </si>
  <si>
    <t>1. Change the sowing date to avoid the flowering season in spring. 2. Spray Mangosteon @ 1000 gm/ha.</t>
  </si>
  <si>
    <t>rust</t>
  </si>
  <si>
    <t>1. Spray Mangosteen @1000 gm/ha</t>
  </si>
  <si>
    <t>Apply Pseudomonas fluorescens or Trichoderma viridi 2.5 kg/ha + 50 kg of well-rotted manure (use after 10 days) or mixed with sand and apply in the field 20 days after planting. Spray Mancozeb 1.25 kg/ha.</t>
  </si>
  <si>
    <t>Downy mildew / Crazy top</t>
  </si>
  <si>
    <t>Apply Pseudomonas fluorescens or Trichoderma viridi @ 2.5 kg/ha + 50 kg of well-rotted manure (use after 10 days) or mixed with sand 20 days after planting. Spray Metaxyl @ 1000 kg/ha Mangosme @ 2 gm/litre on the twentieth day after sowing.</t>
  </si>
  <si>
    <t>Leaf Blight</t>
  </si>
  <si>
    <t>Apply Pseudomonas fluorescens or Trichoderma viridi 2.5 kg/ha + 50 kg of well-rotted manure (use after 10 days) or mixed with sand in the field 20 days after planting.</t>
  </si>
  <si>
    <t>Seeds can be treated with Metalaxyl at a rate of 6 g/kg followed by Metalaxyl at a rate of 500 g or (Ridomil MZ at a rate of 4 kg/ha or Mangosep at a rate of 1 kg/ha).</t>
  </si>
  <si>
    <t>Ergot smut</t>
  </si>
  <si>
    <t>Carbendazim 500 g or Thiram 1000 ml or Mangosteen 1 kg can be sprayed at 5-10 percent flowering and 50 percent after flowering.</t>
  </si>
  <si>
    <t>Wilt</t>
  </si>
  <si>
    <t>Seed treatment: Trichoderma viridi talcum powder 4 g or Pseudomonas fluorescens 10 g or Carbendazim or Thiram 2 g, per 1 kg of seed. Biological method: Pseudomonas fluorescens or Trichoderma viridi (2.5 kg per hectare) mixed with 50 kg of well-rotted manure or sand and applied 30 days after sowing. Chemical method: Carbendazim 1 g mixed with 1 liter of water should be applied to the affected area.</t>
  </si>
  <si>
    <t>Yellow Mosaic</t>
  </si>
  <si>
    <t>Remove the affected plants and spray methyl temton at the rate of 500 ml per hectare as soon as the disease symptoms appear. Then spray again after two weeks.</t>
  </si>
  <si>
    <t>Anthracnose</t>
  </si>
  <si>
    <t>Seed treatment with Carbendazim at the rate of 2 g / kg of seed. Removal and destruction of the affected crop debris. Spray Mancozeb at the rate of 2 g / liter (a) Carbendazim at the rate of 0.5 g / liter.</t>
  </si>
  <si>
    <t>Planting resistant or susceptible varieties like Vamban 4, Vamban 5. Planting maize in seven rows as follow-up crops. Treating seeds with Imidacloprid 70 WS at 5 ml/kg. Crops affected by pea yellow fever virus should be removed at the earliest. Dimethoate should be sown at 750 ml/ha and foliar spray should be done after 30 days.</t>
  </si>
  <si>
    <t>Rust</t>
  </si>
  <si>
    <t>At the onset of the disease and 10 days later, spray Mancozeb @ 1000 gm or Sulphur @ 1500 gm/ha.</t>
  </si>
  <si>
    <t>leaf crinkle</t>
  </si>
  <si>
    <t>Spray Acebate 1kg/l (or) Dimethoate 2ml/l.</t>
  </si>
  <si>
    <t>Set 12 traps per hectare to control insect movement. Set 50 bird feeders per hectare. Collect and destroy the mature larvae. Spray green leafhopper parasite at the rate of 1.5 X 10 12 germs and 1.0 ml / l of adhesive liquid per hectare. Spray / sprinkle any of the following insecticides mixed in 625 liters of water per hectare. Dichlorvos 625 ml; Quinalphos 4% powder 25 kg; Carbaryl 5% powder 25 kg; Triazophos 750 ml after spraying and spray neem juice solution 31.0 l / ha twice. Basalon 35 EC 1.25 L (Note: Spray insecticides and green leafhopper insecticides only up to the third instar stage of the worms.)</t>
  </si>
  <si>
    <t>Yellow mosaic</t>
  </si>
  <si>
    <t>Maize should be sown as a cover crop in rows. The seed should be treated with Imidacloprid 70 WS at the rate of 5 ml/kg to kill the virus that causes the disease. Plants affected by this virus should be weeded out at a young age. Any transmissible insecticide can be sprayed on the leaves at the rate of 750 ml/ha of dimethoate, 30 days after sowing.</t>
  </si>
  <si>
    <t>The seed can be treated with Carbendazim at the rate of 2 g/kg. Spray with Mangosteen at the rate of 2 g or Carbendazim at the rate of 0.5 g/liter.</t>
  </si>
  <si>
    <t>Bean Aphids/ Aphids:</t>
  </si>
  <si>
    <t>Spray any of the following insecticides (solution volume 500 liters per hectare): Emamectin benzoate 5% SG 220 g / ha; Indoxacarb 15.8% SC 333 ml / ha; Neem seed extract 5% twice followed by Triazophos 0.05%; Neom oil 2%</t>
  </si>
  <si>
    <t>Fusarium wilt</t>
  </si>
  <si>
    <t>Certified quality seeds should be used, weeds should be controlled. Plants affected by viral diseases should be removed. Monocrotophos should be sprayed at a rate of 0.1 percent. If resistant plants are not used, nematodes should be controlled. Because nematodes increase the risk of Fusarium wilt in plants.</t>
  </si>
  <si>
    <t>Ascochyta blight</t>
  </si>
  <si>
    <t>The seed can be treated with Carbendazim at 3 g/kg or sprayed with Mangosteen at 3 g/liter or dry sulfur at 2.3 g/liter.</t>
  </si>
  <si>
    <t>Early leaf spot</t>
  </si>
  <si>
    <t>This disease can be controlled by mixing 100 grams of Carbendazim or 200 grams of Mangosteen per acre with 200 liters of water and spraying it with a hand sprayer to thoroughly wet the leaves.</t>
  </si>
  <si>
    <t>Alternaria leaf disease</t>
  </si>
  <si>
    <t>You can spray mangosteen (0.3 percent) or copper oxychloride (0.3 percent) or carbendazim (0.1 percent) on the leaves.</t>
  </si>
  <si>
    <t>Late leaf spot</t>
  </si>
  <si>
    <t>Leaf spot disease can be reduced by planting rye and corn with groundnut in the ratio of (1:3). In the fields where the disease is most prevalent, rye, corn and sesame can be planted as a crop to prevent the spread of the disease to the next crop. The residues of the previous crop should be deeply ploughed to prevent the primary disease transmission factor. This disease can be controlled by spraying 100 g of Carbendazim or 200 g of Mangosteen per acre mixed with 200 liters of water or by spraying the leaves thoroughly with a hand sprayer.</t>
  </si>
  <si>
    <t>Early sowing (January 15) can prevent the spread of this disease. The disease is spread by groundnuts planted in the early season. To control this disease, chlorothalonil 0.2 percent or mancozeb 0.25 percent or hexaconazole or propiconazole can be used.</t>
  </si>
  <si>
    <t>Stem rot</t>
  </si>
  <si>
    <t>The top soil residues should be deeply ploughed. The seeds can be treated with Trichoderma viridi at the rate of 4 g/kg or T. viridi at the rate of 2-5 kg/ha mixed with 50 kg of farmyard manure and applied to the soil. Or castor oil cake or neem oil cake at the rate of 500 kg/ha. The seeds can be treated with 3 gm thiram + carbendazim.</t>
  </si>
  <si>
    <t>Bud necrosis</t>
  </si>
  <si>
    <t>Early sowing of sorghum and samba in the seasons can help to control the disease. Increasing the crop density, early sowing, and intercropping with rice are some of the methods to control the disease. Groundnut and rice can be sown in the ratio of 7:1. Monocrotophos at 1.6 ml/litre or dimethoate at 2 ml/litre can be used to control the disease.</t>
  </si>
  <si>
    <t>stem rot</t>
  </si>
  <si>
    <t>Sulphur deficiency in groundnut</t>
  </si>
  <si>
    <t>Apply 200 kg of gypsum per hectare as a base and 200 kg on the 45th day after planting to saturate the soil.</t>
  </si>
  <si>
    <t>IRON DEFICIENCY / Iron deficiency in peanuts</t>
  </si>
  <si>
    <t>Ferrous sulphate (5 g) and urea (10 g) dissolved in one litre of water should be sprayed at 10-day intervals until the symptoms disappear. Nitrogen and manure should be applied to soils with high lime content.</t>
  </si>
  <si>
    <t>BORON DEFICIENCY / Boron deficiency in groundnut</t>
  </si>
  <si>
    <t>Plow the soil with 5 kg of borax. Spray borax (3 g/liter) solution through the leaves at 10-day intervals during the flowering and fruiting seasons.</t>
  </si>
  <si>
    <t>Damping off / Root Rot</t>
  </si>
  <si>
    <t>The seed can be treated with Thiram + Carbendazim (0.05 percent) in a ratio of 1:1 or 2 g/kg.</t>
  </si>
  <si>
    <t>Sesamum phyllody / green bloom disease of sesame</t>
  </si>
  <si>
    <t>Sesame + sorghum can be intercropped in the ratio of (6:1). Diseased plants should be destroyed. Spraying three times with dimethoate (0.03 percent) at 30, 40 and 60 days after sowing can control the disease vector.</t>
  </si>
  <si>
    <t>powdery mildew</t>
  </si>
  <si>
    <t>Powdery mildew. Sprinkle sulfur powder at the rate of 10 kg per acre. For more information, contact your local Assistant Director of Agriculture office.</t>
  </si>
  <si>
    <t>The field should be kept clean without any previous crop residues. Sesame + Rye (3:1) can be planted as an intercrop. RT-127 can be planted as a disease resistant variety. Spray soluble sulfur (0.2 percent) twice at an interval of 10 days.</t>
  </si>
  <si>
    <t>Cercospora leaf spot / white spot disease</t>
  </si>
  <si>
    <t>Disease-tolerant/resistant varieties TKG – 21 should be cultivated. Crop rotation with sesame + rye (3:1) should be done. Crop debris should be destroyed. Seed treatment should be done with Thiram (a) Carbendazim at the rate of 2 g/kg. Spray Mancozeb (0.25%) at the rate of 3 times at an interval of 15 days as soon as the disease starts to appear.</t>
  </si>
  <si>
    <t>Rhizopus Head Rot</t>
  </si>
  <si>
    <t>Before the flowering season ends, spray insecticide and fungicide. Avoid injury to the head as much as possible. Spray Mangosteen at 2 g/liter.</t>
  </si>
  <si>
    <t>Mixing 2.5 kg of Trichoderma viridi with manure, sprinkling it with water, covering it with polythene for 15 days, and then applying it to both legs or the sides can help prevent this disease to some extent.</t>
  </si>
  <si>
    <t>Cercospora leaf spot</t>
  </si>
  <si>
    <t>Remove infected plant debris. Spray Metrim 55% + Pyraclostrobin 5% WG 0.1% at 60,90, and 120 days during the growth and flowering season.</t>
  </si>
  <si>
    <t>Grey or Areolate mildew</t>
  </si>
  <si>
    <t>Spray Carbendazim 250 gm/ha or Mancozeb @ 1000 gm or Metrim 55% + Pyraclostrobin 5% WG 0.1% on 60,90, and 120th day.</t>
  </si>
  <si>
    <t>Alternaria leaf blight</t>
  </si>
  <si>
    <t>Remove infected plant debris. Spray Pyraclostrobin 20% WG 2 g or Metrim 55% + Pyraclostrobin 5% WG 20 g in 10 liters of water during the growth and flowering season.</t>
  </si>
  <si>
    <t>Spray magnesium sulphate 1% through the leaf</t>
  </si>
  <si>
    <t>phosphorus deficiency</t>
  </si>
  <si>
    <t>Spray 2% DAP through the foliage</t>
  </si>
  <si>
    <t>Use acid-desooded seeds. Treat the seeds with a mixture of Pseudomonas fluorescens + Bacillus subtilis + Trichoderma aspergillus at the rate of 10 g per kg of seeds. Also, this mixture should be applied to the soil at the time of sowing and on the 90th day.</t>
  </si>
  <si>
    <t>Remove infected plant debris. In the initial stage, spray Mancozeb (a) Copper Oxychloride @ 2 kg/ha 2 - 3 times at 15 days interval.</t>
  </si>
  <si>
    <t>Myrothecium leaf spot</t>
  </si>
  <si>
    <t>Remove infected plant debris. In the initial stage, spray Mancozeb (a) Copper Oxychloride 2 kg/ha 2 - 3 times at 15 days interval.</t>
  </si>
  <si>
    <t>root rot</t>
  </si>
  <si>
    <t>Apply manure @ 10 tons/ha (or) neem meal @ 2.5 tons/ha. Treat the seed with Trichoderma viridi @ 4 g/kg (or) Pseudomonas fluorescens @ 10 g/kg. Also, apply 2.5 kg/ha to the soil at the time of sowing and on the 90th day. Spray Carbendazim @ 1 g/liter under the plant.</t>
  </si>
  <si>
    <t>Potassium deficiency in cotton</t>
  </si>
  <si>
    <t>Dissolve 10 grams of potassium chloride in one liter of water and spray foliarly during the cotton flowering and boll bursting seasons until symptoms disappear.</t>
  </si>
  <si>
    <t>Manganese deficiency in cotton</t>
  </si>
  <si>
    <t>Magnesium deficiency in cotton</t>
  </si>
  <si>
    <t>Dissolve 20 grams of magnesium sulfate and 10 grams of urea in one liter of water and spray it through the leaves at 15-day intervals until the symptoms disappear.</t>
  </si>
  <si>
    <t>boll rot</t>
  </si>
  <si>
    <t>Leave enough space. Use the recommended fertilizer dosage. Spray Carbendazim 2 kg (or) Mancozeb 2 kg / ha, every 15 days from the 45th day.</t>
  </si>
  <si>
    <t>Zinc deficiency in sugarcane</t>
  </si>
  <si>
    <t>Zinc sulphate (25 kg/ha) should be applied as a base fertilizer. Zinc sulphate (5 g/litre) solution should be sprayed foliarly at an interval of 10 days.</t>
  </si>
  <si>
    <t>red rot</t>
  </si>
  <si>
    <t>Avoid irrigation through the diseased field. Avoid continuous cultivation of sugarcane in the same land where the disease has appeared and plant alternative crops like rice. Disease resistant varieties like Ko 86249, Ko 85019, Ko.Ku 93076, Ko.C 95071, Ko.K 98061, Ko.K 99061 and Ko.K 22 should be planted. Carbendazim 50 WP fungicide (one gram in one liter of water) should be mixed and poured in the area where the weeds have been removed and the areas around it. The seedbed can be soaked in 1% Bordeaux mixture or other fungicide solution until the entire seedbed is wet and then planted.</t>
  </si>
  <si>
    <t>The affected plants should be removed and destroyed. The affected areas should be drenched with Carpentis (0.1%). Non-starchy plants, i.e. cereals, should be cultivated in crop rotation.</t>
  </si>
  <si>
    <t>Early Blight</t>
  </si>
  <si>
    <t>The disease can be reduced by following crop rotation practices, removing and destroying crop debris. Spraying with Mancozeb 0.2% is recommended for effective disease control.</t>
  </si>
  <si>
    <t>Damping off odor</t>
  </si>
  <si>
    <t>1. Raised nursery beds should be constructed.
2. Continuous irrigation and proper drainage should be provided.
3. Drench with copper oxychloride 0.2% or Bordeaux mixture.
4. Pre-emergence blight can be treated with Trichoderma viridi (4g/kg seed) or Thiram (3g/kg seed).
5. Spray with 0.2% Metallics during cloudy weather.</t>
  </si>
  <si>
    <t>Bacterial wilt</t>
  </si>
  <si>
    <t>Bacterial wilt disease in tomatoes can be reduced by cultivating a crop rotation of broad beans - maize - cabbage, okra - broad beans - maize, maize - broad beans and chard - eggplant.</t>
  </si>
  <si>
    <t>Tomato mosaic virus (TMV)</t>
  </si>
  <si>
    <t>Seeds of healthy, disease-free plants should be selected for sowing. The disease can be reduced by soaking the seeds in a solution of trisodium phosphate (90g/litre of water) a day before sowing. The seeds should be washed well and dried in the shade. The affected plants in the farm should be carefully removed and destroyed. Seedlings infected with virus diseases should not be used for planting. Crops other than tobacco, potato, chilli, capsicum, brinjal etc. should be used for crop rotation.</t>
  </si>
  <si>
    <t>Leaf curl disease</t>
  </si>
  <si>
    <t>Yellow sticky traps should be placed at a rate of 12/ha to monitor whiteflies. Cereals should be grown as a hedge crop around the fields. Weeds should be removed. Seedlings should be protected in a net tent or greenhouse. Spraying 0.05% of imida chloride or 0.05% of dimethod at 15, 25 and 45 days after planting can control the disease.</t>
  </si>
  <si>
    <t>Tomato spotted wilt disease</t>
  </si>
  <si>
    <t>The infected plants should be removed and destroyed. The virus can be reduced by eliminating other root vectors. Fence crops can be increased. Before sowing tomatoes, 5-6 rows of corn, maize, and rye can be planted around the fields. The virus can be controlled by spraying imidate chloride 0.05% or penetrating insecticides.</t>
  </si>
  <si>
    <t>Alternaria leaf spot</t>
  </si>
  <si>
    <t>Spray 1% Bordeaux mixture (or) 2 kg copper oxychloride (or) 2.5 g Zinop/liter of water.</t>
  </si>
  <si>
    <t>Bacterial Wilt</t>
  </si>
  <si>
    <t>The disease-resistant variety of the Bandh Samrat variety should be rotated with cold-zone vegetables such as cauliflower. The field should be kept clean. If root-knot nematodes are present, this disease will be widespread.</t>
  </si>
  <si>
    <t>Tobacco mosaic virus</t>
  </si>
  <si>
    <t>All weeds should be destroyed. Avoid planting cucumber, pepper, tobacco, eggplant seed beds and tomatoes near the field. Wash hands thoroughly before working in the seed beds. Avoid smoking (or) chewing tobacco while handling eggplant seedlings. Dimethoate 2 ml/l (or) Vermicistox 1 ml/l should be dissolved in water and sprayed.</t>
  </si>
  <si>
    <t>There are no chemical control methods, therefore, mechanical and tillage methods are recommended. Infected plants should be uprooted and buried (or) burned. The same crop should not be planted repeatedly. Disease-free seeds should be selected.</t>
  </si>
  <si>
    <t>Mosaic disease</t>
  </si>
  <si>
    <t>Transmitted by aphids. Lives on a wide variety of plants. Plant disease-resistant crops, remove weeds, spray with insecticides.</t>
  </si>
  <si>
    <t>Early blight</t>
  </si>
  <si>
    <t>This disease is soil-borne. To control this, crop rotation should be practiced and the garden should be kept clean. The infected and dried leaves should be collected and burned. This disease can also be controlled by spraying Mancozeb or Chlorothalonil at the rate of one kilogram per hectare on the 45th, 68th and 75th days after planting.</t>
  </si>
  <si>
    <t>Late blight</t>
  </si>
  <si>
    <t>Among all the diseases that can occur in potatoes, the most important is the late blight disease. The first symptom of this disease is the appearance of small brown water-soaked spots on the leaves. When there is an alternation of rain and sun, these spots turn black and the leaves rot. The fungus is found on the back of the affected leaves in white color. This fungus also attacks the tubers. The disease is spread through the infected tuber. Therefore, to control this disease, non-infected tubers should be planted. The leafy branches covered with soil should be removed. The infected and fallen leaves should be collected and burned. Mancozeb or chlorothalonil, which is used to control the early blight, should be sprayed at the rate of one kg per hectare mixed with water on the 45th, 68th and 75th days after planting. Varieties resistant to this disease should be cultivated, namely Kuprijothi, Kuprimalar and Kuprithangam.</t>
  </si>
  <si>
    <t>leaf spot disease</t>
  </si>
  <si>
    <t>Spray 0.25% copper oxychloride or spray Mancozeb @ 2 gm/litre at fortnightly intervals.</t>
  </si>
  <si>
    <t>tuber rot disease</t>
  </si>
  <si>
    <t>Avoid waterlogging. Provide good drainage. Apply copper oxychloride @ 2.5 g/liter spot drench or Trichoderma viridi @ 2.5 kg/ha at the base and in the soil at 3rd and 6th month after planting.</t>
  </si>
  <si>
    <t>mosaic virus disease / cassava leaf spot disease</t>
  </si>
  <si>
    <t>Seed factors should be selected from healthy plants. Affected plants should be removed at an early stage. Whitefly can be controlled with yellow glue and weed control, spray neem oil at 3% or spray methyl damaton 2 ml. Dimethoate at 1 ml. can be used to prevent the spread of the disease.</t>
  </si>
  <si>
    <t>Powdery mildew</t>
  </si>
  <si>
    <t>Mix 2 grams of wettable sulfur powder in one liter of water and spray.</t>
  </si>
  <si>
    <t>The dry leaves should be removed from time to time and the land should be kept clean. Every month, the side shoots should be pruned and the affected areas should be uprooted and destroyed. After harvesting, after uprooting and destroying the stems, the stalks should be removed by hand, thereby preventing the growth of other beetles. In places where the beetles are found in large numbers, the method of spreading the leaves as fertilizer in the field after harvesting can be avoided. The cut leaf stalk should be soaked in a mixture of chlorpyrifos (2.5 l/l) + 1 ml of adhesive solution. The cut (longitudinal) area should be treated with 20 kg of Peveria bassiana fungus or Heptero raphetis indica nematode. These beetles will die due to the disease. The longitudinally split stem will be etched. This trap (45 cm long) is made by splitting the banana stem in two lengthwise. Such traps are placed in the field at a rate of 25 per acre to control the beetles.</t>
  </si>
  <si>
    <t>Bunchy-top hair disease</t>
  </si>
  <si>
    <t>Virus-free saplings should be used for planting. Infected bananas should be removed.</t>
  </si>
  <si>
    <t>Banana aphid</t>
  </si>
  <si>
    <t>The land should be kept clean during cultivation. Good saplings should be selected to avoid pest attack. The affected tree should be destroyed along with the tuber. If banana leaves and flowers are kept in 49°C water for 10 minutes, the aphids will die. Spray soapy water or soapy water mixed with insecticide on the young shoots, leaves, leaf petioles, and curled leaves. Release the prokaryotic beetle Lysimelipius testaceipus in the field. In addition, trap beetles, glass fiber moths, etc., are very fond of aphids. Piveria bassiana, a fungus, can also be released in the banana field.</t>
  </si>
  <si>
    <t>Sigatoka leaf spot</t>
  </si>
  <si>
    <t>Before planting the seedling, 40 grams of Carbofuran 3G granules should be sprinkled on the tubers soaked in clay slurry. 200 mg of Pernoxan tablets should be injected into the seedling to a depth of 7 cm using a capsule “applicator” tool. Or 5 ml of Pernoxan liquid should be injected into the stem through a syringe. The affected plants should be uprooted. One to two kg of lime should be placed in the holes and covered with soil. Dissolve 2 g of Carbendazim in 100 ml of water and inject 3 ml of the medicine into the junction of the stem and tuber at a 45 degree angle to a depth of 10 cm using a syringe after taking out the medicine. This should be done in the 3rd and 6th months after planting the seedling.</t>
  </si>
  <si>
    <t>The affected areas should be burned and destroyed. The land should be maintained by eliminating weeds and providing good drainage. Protect the fruits from infection as much as possible during harvesting, shipping and storage. The fruits should be harvested at the right time of maturity. The infection can also be prevented by proper fertilization. Removing the infected fruit buds prevents the others from being infected. After harvesting, the fruits that are free from any infection should be carefully stored at 7°-10° Celsius.</t>
  </si>
  <si>
    <t>Panama Disease</t>
  </si>
  <si>
    <t>Pseudomonas fluorescens @ 2.5kg / ha can be applied in combination with biocide, manure and neem cake. Pseudomonas fluorescens (60 mg) capsule should be applied in a 10 cm deep hole in the tuber. Carbendazim should be applied in 50 ml capsule or 2% Carbendazim through injection.</t>
  </si>
  <si>
    <t>Root rot and wilt</t>
  </si>
  <si>
    <t>To control this, 0.1% Bordeaux mixture or 0.2% zinc sulfate solution should be applied to the roots, 2 or 4 times at 15-day intervals.</t>
  </si>
  <si>
    <t>Sooty mold</t>
  </si>
  <si>
    <t>Mix 1 kg of maida (or) starch solution in 5 liters of water and boil it. After cooling, mix it in 20 liters of water (5%) and spray it. Do not spray when it is cloudy.</t>
  </si>
  <si>
    <t>Red rust disease</t>
  </si>
  <si>
    <t>Spray 0.25% copper oxychloride or 0.5% Bordeaux mixture.</t>
  </si>
  <si>
    <t>When the attack of the beetle increases, it should be killed by piercing with a wire or a pin. The impact of the beetle can be prevented by applying any of the following pesticides to the mid-buds (kondai). a) Apply a mixture of 25 kg of Cevidol 8 (Kurunaigal) + 200 kg of coarse sand to the bud three times a year. b) Cover a 10-kg ball of sand with sand. Place this in the young bud 45 days once. Rinoliur can be used as a bait trap at the rate of 5 per hectare.</t>
  </si>
  <si>
    <t>Remove and burn affected leaves to prevent spread of the disease. Apply 200 gm Pseudomonas fluorescens with 50 kg of farmyard manure (dung) and 5 kg of neem cake per tree per year. Spray 1% Bordeaux mixture or 0.25% copper oxychloride (spray 2 times at 45 days interval during summer). Apply 2 gm of Carbendazim or 2 ml of Hexaconazole / Tritimorph + 100 liters of water (3 times at 3 months interval) through the root. Apply 2 kg potassium fertilizer in addition to the recommended dose of fertilizer.</t>
  </si>
  <si>
    <t>bud rot</t>
  </si>
  <si>
    <t>Remove the affected part of the shoot and soak the shoot with 0.25% copper oxychloride. Apply Bordeaux mixture until the new shoot appears and protect it from rainwater. Spray 1% Bordeaux mixture on the affected and nearby trees as a preventive measure. Put 2 grams of mancozeb in small, perforated bags and tie them at the junction of the leaf with the stem. When it rains, the medicine will come out of the bag little by little. This will protect the tree. Spray 0.25% copper oxychloride after the monsoon rains.</t>
  </si>
  <si>
    <t>potassium deficiency</t>
  </si>
  <si>
    <t>Apply 2 kg of potash per tree once a year. Apply 200 ml of potash solution (10 g/liter) through the roots at intervals of four months. Apply 2 kg/tree/year of Muriate of Potash (MOP) to the soil.</t>
  </si>
  <si>
    <t>leaf rot</t>
  </si>
  <si>
    <t>The rotten stem and the two adjacent leaves should be removed. Fungicide Hexaconazole - 2 ml or Mancozeb - 3 g + 300 ml of water should be mixed and poured under the stem. Spraying 2-3 times is sufficient in times of moderate infection. Spray 1% Bordeaux mixture, 0.5% copper oxychloride or 0.4% Mancozeb on the stem and leaves in January, April-May and September.</t>
  </si>
  <si>
    <t>To control this, spray 2 grams of Mancozeb dissolved in one liter of water.</t>
  </si>
  <si>
    <t>Die back tip blight</t>
  </si>
  <si>
    <t>Cut the branches down to the affected area, apply Bordeaux mixture to the cut areas, and spray the tree with copper oxychloride at a rate of 2.5 grams per liter of water.</t>
  </si>
  <si>
    <t>D003</t>
  </si>
  <si>
    <t>D004</t>
  </si>
  <si>
    <t>D005</t>
  </si>
  <si>
    <t>D006</t>
  </si>
  <si>
    <t>D007</t>
  </si>
  <si>
    <t>D008</t>
  </si>
  <si>
    <t>D009</t>
  </si>
  <si>
    <t>D010</t>
  </si>
  <si>
    <t>D011</t>
  </si>
  <si>
    <t>D012</t>
  </si>
  <si>
    <t>D013</t>
  </si>
  <si>
    <t>D014</t>
  </si>
  <si>
    <t>D015</t>
  </si>
  <si>
    <t>D016</t>
  </si>
  <si>
    <t>D017</t>
  </si>
  <si>
    <t>D018</t>
  </si>
  <si>
    <t>D019</t>
  </si>
  <si>
    <t>D020</t>
  </si>
  <si>
    <t>D021</t>
  </si>
  <si>
    <t>D022</t>
  </si>
  <si>
    <t>D023</t>
  </si>
  <si>
    <t>D024</t>
  </si>
  <si>
    <t>D025</t>
  </si>
  <si>
    <t>D026</t>
  </si>
  <si>
    <t>D027</t>
  </si>
  <si>
    <t>D028</t>
  </si>
  <si>
    <t>D029</t>
  </si>
  <si>
    <t>D030</t>
  </si>
  <si>
    <t>D031</t>
  </si>
  <si>
    <t>D032</t>
  </si>
  <si>
    <t>D033</t>
  </si>
  <si>
    <t>D034</t>
  </si>
  <si>
    <t>D035</t>
  </si>
  <si>
    <t>D036</t>
  </si>
  <si>
    <t>D037</t>
  </si>
  <si>
    <t>D038</t>
  </si>
  <si>
    <t>D039</t>
  </si>
  <si>
    <t>D040</t>
  </si>
  <si>
    <t>D041</t>
  </si>
  <si>
    <t>D042</t>
  </si>
  <si>
    <t>D043</t>
  </si>
  <si>
    <t>D044</t>
  </si>
  <si>
    <t>D045</t>
  </si>
  <si>
    <t>D046</t>
  </si>
  <si>
    <t>D047</t>
  </si>
  <si>
    <t>D048</t>
  </si>
  <si>
    <t>D049</t>
  </si>
  <si>
    <t>D050</t>
  </si>
  <si>
    <t>D051</t>
  </si>
  <si>
    <t>D052</t>
  </si>
  <si>
    <t>D053</t>
  </si>
  <si>
    <t>D054</t>
  </si>
  <si>
    <t>D055</t>
  </si>
  <si>
    <t>D056</t>
  </si>
  <si>
    <t>D057</t>
  </si>
  <si>
    <t>D058</t>
  </si>
  <si>
    <t>D059</t>
  </si>
  <si>
    <t>D060</t>
  </si>
  <si>
    <t>D061</t>
  </si>
  <si>
    <t>D062</t>
  </si>
  <si>
    <t>D063</t>
  </si>
  <si>
    <t>D064</t>
  </si>
  <si>
    <t>D065</t>
  </si>
  <si>
    <t>D066</t>
  </si>
  <si>
    <t>D067</t>
  </si>
  <si>
    <t>D068</t>
  </si>
  <si>
    <t>D069</t>
  </si>
  <si>
    <t>D070</t>
  </si>
  <si>
    <t>D071</t>
  </si>
  <si>
    <t>D072</t>
  </si>
  <si>
    <t>D073</t>
  </si>
  <si>
    <t>D074</t>
  </si>
  <si>
    <t>D075</t>
  </si>
  <si>
    <t>D076</t>
  </si>
  <si>
    <t>D077</t>
  </si>
  <si>
    <t>D078</t>
  </si>
  <si>
    <t>D079</t>
  </si>
  <si>
    <t>D080</t>
  </si>
  <si>
    <t>D081</t>
  </si>
  <si>
    <t>D082</t>
  </si>
  <si>
    <t>D083</t>
  </si>
  <si>
    <t>D084</t>
  </si>
  <si>
    <t>D085</t>
  </si>
  <si>
    <t>D086</t>
  </si>
  <si>
    <t>D087</t>
  </si>
  <si>
    <t>D088</t>
  </si>
  <si>
    <t>D089</t>
  </si>
  <si>
    <t>D090</t>
  </si>
  <si>
    <t>D091</t>
  </si>
  <si>
    <t>D092</t>
  </si>
  <si>
    <t>D093</t>
  </si>
  <si>
    <t>D094</t>
  </si>
  <si>
    <t>D095</t>
  </si>
  <si>
    <t>D096</t>
  </si>
  <si>
    <t>D097</t>
  </si>
  <si>
    <t>D098</t>
  </si>
  <si>
    <t>D099</t>
  </si>
  <si>
    <t>D100</t>
  </si>
  <si>
    <t>D101</t>
  </si>
  <si>
    <t>D102</t>
  </si>
  <si>
    <t>D103</t>
  </si>
  <si>
    <t>D104</t>
  </si>
  <si>
    <t>D105</t>
  </si>
  <si>
    <t>D106</t>
  </si>
  <si>
    <t>D107</t>
  </si>
  <si>
    <t>D108</t>
  </si>
  <si>
    <t>D109</t>
  </si>
  <si>
    <t>D110</t>
  </si>
  <si>
    <t>D111</t>
  </si>
  <si>
    <t>D112</t>
  </si>
  <si>
    <t>D113</t>
  </si>
  <si>
    <t>D114</t>
  </si>
  <si>
    <t>D115</t>
  </si>
  <si>
    <t>D116</t>
  </si>
  <si>
    <t>D117</t>
  </si>
  <si>
    <t>D118</t>
  </si>
  <si>
    <t>D119</t>
  </si>
  <si>
    <t>D120</t>
  </si>
  <si>
    <t>D121</t>
  </si>
  <si>
    <t>D122</t>
  </si>
  <si>
    <t>D123</t>
  </si>
  <si>
    <t>D124</t>
  </si>
  <si>
    <t>D125</t>
  </si>
  <si>
    <t>D126</t>
  </si>
  <si>
    <t>D127</t>
  </si>
  <si>
    <t>D128</t>
  </si>
  <si>
    <t>D129</t>
  </si>
  <si>
    <t>D130</t>
  </si>
  <si>
    <t>D131</t>
  </si>
  <si>
    <t>D132</t>
  </si>
  <si>
    <t>D133</t>
  </si>
  <si>
    <t>D134</t>
  </si>
  <si>
    <t>D135</t>
  </si>
  <si>
    <t>D136</t>
  </si>
  <si>
    <t>D137</t>
  </si>
  <si>
    <t>D138</t>
  </si>
  <si>
    <t>D139</t>
  </si>
  <si>
    <t>D140</t>
  </si>
  <si>
    <t>D141</t>
  </si>
  <si>
    <t>D142</t>
  </si>
  <si>
    <t>Agriculture_Dataset\Images\Paddy\Pests\Swarming_Caterpillar</t>
  </si>
  <si>
    <t>Agriculture_Dataset\Images\Paddy\Pests\Rice_Skipper</t>
  </si>
  <si>
    <t>Agriculture_Dataset\Images\Paddy\Pests\Leaf_folder</t>
  </si>
  <si>
    <t>Agriculture_Dataset\Images\Paddy\Pests\Spiny_beetle</t>
  </si>
  <si>
    <t>Agriculture_Dataset\Images\Paddy\Pests\Whorl_maggot</t>
  </si>
  <si>
    <t>Agriculture_Dataset\Images\Paddy\Pests\Green_horned_caterpillar</t>
  </si>
  <si>
    <t>Agriculture_Dataset\Images\Paddy\Pests\Yellow_hairy_caterpillar</t>
  </si>
  <si>
    <t>Agriculture_Dataset\Images\Paddy\Pests\Grasshopper</t>
  </si>
  <si>
    <t>Agriculture_Dataset\Images\Paddy\Pests\Green_Leaf_Hopper</t>
  </si>
  <si>
    <t>Agriculture_Dataset\Images\Paddy\Pests\Brown_plant_hopper</t>
  </si>
  <si>
    <t>Agriculture_Dataset\Images\Paddy\Pests\White_backed_hopper</t>
  </si>
  <si>
    <t>Agriculture_Dataset\Images\Paddy\Pests\Thrips</t>
  </si>
  <si>
    <t>Agriculture_Dataset\Images\Paddy\Pests\Mealy_bug</t>
  </si>
  <si>
    <t>Agriculture_Dataset\Images\Paddy\Pests\Narrow_brown_leaf_spot</t>
  </si>
  <si>
    <t>Agriculture_Dataset\Images\Paddy\Pests\zinc_deficiency</t>
  </si>
  <si>
    <t>Agriculture_Dataset\Images\Paddy\Pests\Case_worm</t>
  </si>
  <si>
    <t>Agriculture_Dataset\Images\Paddy\Pests\Gall_Midge</t>
  </si>
  <si>
    <t>Agriculture_Dataset\Images\Paddy\Pests\Stem_Borer</t>
  </si>
  <si>
    <t>Agriculture_Dataset\Images\Paddy\Pests\Brown_spot</t>
  </si>
  <si>
    <t>Agriculture_Dataset\Images\Ragi\Pink_stem_borer</t>
  </si>
  <si>
    <t>Agriculture_Dataset\Images\Ragi\Ear_Head_Bug</t>
  </si>
  <si>
    <t xml:space="preserve">Agriculture_Dataset\Images\Ragi\Aphid
</t>
  </si>
  <si>
    <t>Agriculture_Dataset\Images\Ragi\Shoot_fly</t>
  </si>
  <si>
    <t>Agriculture_Dataset\Images\Cholam\Shoot_fly</t>
  </si>
  <si>
    <t>Agriculture_Dataset\Images\Cholam\Stem_Borer</t>
  </si>
  <si>
    <t>Agriculture_Dataset\Images\Cholam\Shoot_bug</t>
  </si>
  <si>
    <t>Agriculture_Dataset\Images\Cholam\Pink_stem_borer</t>
  </si>
  <si>
    <t>Agriculture_Dataset\Images\Cholam\Ear_Head_Bug</t>
  </si>
  <si>
    <t>Agriculture_Dataset\Images\Cholam\Ear_Head_Caterpillar</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</si>
</sst>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b/>
      <sz val="11"/>
      <color rgb="FFFFFFFF"/>
      <name val="Calibri"/>
    </font>
    <font>
      <b/>
      <sz val="11"/>
      <color rgb="FFFFFFFF"/>
      <name val="Calibri"/>
      <family val="2"/>
    </font>
    <font>
      <sz val="11"/>
      <color rgb="FF444444"/>
      <name val="Arial"/>
      <family val="2"/>
    </font>
  </fonts>
  <fills count="4">
    <fill>
      <patternFill patternType="none"/>
    </fill>
    <fill>
      <patternFill patternType="gray125"/>
    </fill>
    <fill>
      <patternFill patternType="solid">
        <fgColor rgb="FF1F5E35"/>
      </patternFill>
    </fill>
    <fill>
      <patternFill patternType="solid">
        <fgColor rgb="FFFFFF00"/>
        <bgColor indexed="64"/>
      </patternFill>
    </fill>
  </fills>
  <borders count="4">
    <border>
      <left/>
      <right/>
      <top/>
      <bottom/>
      <diagonal/>
    </border>
    <border>
      <left/>
      <right/>
      <top/>
      <bottom style="thin">
        <color rgb="FFD9D9D9"/>
      </bottom>
      <diagonal/>
    </border>
    <border>
      <left/>
      <right/>
      <top/>
      <bottom style="thin">
        <color rgb="FFD9E1E5"/>
      </bottom>
      <diagonal/>
    </border>
    <border>
      <left/>
      <right/>
      <top/>
      <bottom style="thin">
        <color rgb="FFD9E1F2"/>
      </bottom>
      <diagonal/>
    </border>
  </borders>
  <cellStyleXfs count="1">
    <xf numFmtId="0" fontId="0" fillId="0" borderId="0"/>
  </cellStyleXfs>
  <cellXfs count="16">
    <xf numFmtId="0" fontId="0" fillId="0" borderId="0" xfId="0"/>
    <xf numFmtId="0" fontId="1" fillId="2" borderId="0" xfId="0" applyFont="1" applyFill="1" applyAlignment="1">
      <alignment vertical="top" wrapText="1"/>
    </xf>
    <xf numFmtId="0" fontId="0" fillId="0" borderId="0" xfId="0" applyAlignment="1">
      <alignment vertical="top" wrapText="1"/>
    </xf>
    <xf numFmtId="0" fontId="0" fillId="0" borderId="0" xfId="0" applyAlignment="1">
      <alignment wrapText="1"/>
    </xf>
    <xf numFmtId="0" fontId="0" fillId="0" borderId="0" xfId="0" applyAlignment="1"/>
    <xf numFmtId="0" fontId="0" fillId="0" borderId="0" xfId="0" applyFont="1" applyAlignment="1">
      <alignment vertical="top" wrapText="1"/>
    </xf>
    <xf numFmtId="0" fontId="2" fillId="2" borderId="0" xfId="0" applyFont="1" applyFill="1" applyAlignment="1">
      <alignment vertical="top" wrapText="1"/>
    </xf>
    <xf numFmtId="0" fontId="0" fillId="0" borderId="0" xfId="0" applyFont="1" applyAlignment="1">
      <alignment wrapText="1"/>
    </xf>
    <xf numFmtId="0" fontId="3" fillId="0" borderId="0" xfId="0" applyFont="1" applyAlignment="1">
      <alignment wrapText="1"/>
    </xf>
    <xf numFmtId="0" fontId="0" fillId="0" borderId="1" xfId="0" applyBorder="1" applyAlignment="1">
      <alignment vertical="top" wrapText="1"/>
    </xf>
    <xf numFmtId="0" fontId="0" fillId="0" borderId="2" xfId="0" applyBorder="1" applyAlignment="1">
      <alignment vertical="top" wrapText="1"/>
    </xf>
    <xf numFmtId="0" fontId="0" fillId="0" borderId="3" xfId="0" applyBorder="1" applyAlignment="1">
      <alignment vertical="top" wrapText="1"/>
    </xf>
    <xf numFmtId="0" fontId="0" fillId="3" borderId="0" xfId="0" applyFill="1" applyAlignment="1">
      <alignment vertical="top" wrapText="1"/>
    </xf>
    <xf numFmtId="0" fontId="0" fillId="3" borderId="0" xfId="0" applyFill="1" applyAlignment="1"/>
    <xf numFmtId="0" fontId="0" fillId="3" borderId="0" xfId="0" applyFont="1" applyFill="1" applyAlignment="1">
      <alignment wrapText="1"/>
    </xf>
    <xf numFmtId="0" fontId="0" fillId="3" borderId="0" xfId="0"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2"/>
  <sheetViews>
    <sheetView workbookViewId="0">
      <pane ySplit="1" topLeftCell="A2" activePane="bottomLeft" state="frozen"/>
      <selection pane="bottomLeft" activeCell="M5" sqref="M5"/>
    </sheetView>
  </sheetViews>
  <sheetFormatPr defaultRowHeight="15" x14ac:dyDescent="0.25"/>
  <cols>
    <col min="1" max="1" width="14" customWidth="1"/>
    <col min="2" max="2" width="24" customWidth="1"/>
    <col min="3" max="3" width="22" customWidth="1"/>
  </cols>
  <sheetData>
    <row r="1" spans="1:3" ht="30" customHeight="1" x14ac:dyDescent="0.25">
      <c r="A1" s="1" t="s">
        <v>0</v>
      </c>
      <c r="B1" s="1" t="s">
        <v>1</v>
      </c>
      <c r="C1" s="1" t="s">
        <v>2</v>
      </c>
    </row>
    <row r="2" spans="1:3" x14ac:dyDescent="0.25">
      <c r="A2" s="2" t="s">
        <v>3</v>
      </c>
      <c r="B2" s="2" t="s">
        <v>4</v>
      </c>
      <c r="C2" s="2"/>
    </row>
    <row r="3" spans="1:3" x14ac:dyDescent="0.25">
      <c r="A3" s="2" t="s">
        <v>5</v>
      </c>
      <c r="B3" s="2" t="s">
        <v>6</v>
      </c>
      <c r="C3" s="2"/>
    </row>
    <row r="4" spans="1:3" x14ac:dyDescent="0.25">
      <c r="A4" s="2" t="s">
        <v>7</v>
      </c>
      <c r="B4" s="2" t="s">
        <v>8</v>
      </c>
      <c r="C4" s="2"/>
    </row>
    <row r="5" spans="1:3" x14ac:dyDescent="0.25">
      <c r="A5" s="2" t="s">
        <v>9</v>
      </c>
      <c r="B5" s="2" t="s">
        <v>10</v>
      </c>
      <c r="C5" s="2"/>
    </row>
    <row r="6" spans="1:3" x14ac:dyDescent="0.25">
      <c r="A6" s="2" t="s">
        <v>11</v>
      </c>
      <c r="B6" s="2" t="s">
        <v>277</v>
      </c>
      <c r="C6" s="2"/>
    </row>
    <row r="7" spans="1:3" x14ac:dyDescent="0.25">
      <c r="A7" s="2" t="s">
        <v>12</v>
      </c>
      <c r="B7" s="2" t="s">
        <v>13</v>
      </c>
      <c r="C7" s="2"/>
    </row>
    <row r="8" spans="1:3" x14ac:dyDescent="0.25">
      <c r="A8" s="2" t="s">
        <v>14</v>
      </c>
      <c r="B8" s="2" t="s">
        <v>15</v>
      </c>
      <c r="C8" s="2"/>
    </row>
    <row r="9" spans="1:3" x14ac:dyDescent="0.25">
      <c r="A9" s="2" t="s">
        <v>16</v>
      </c>
      <c r="B9" s="2" t="s">
        <v>17</v>
      </c>
      <c r="C9" s="2"/>
    </row>
    <row r="10" spans="1:3" x14ac:dyDescent="0.25">
      <c r="A10" s="2" t="s">
        <v>18</v>
      </c>
      <c r="B10" s="2" t="s">
        <v>19</v>
      </c>
      <c r="C10" s="2"/>
    </row>
    <row r="11" spans="1:3" x14ac:dyDescent="0.25">
      <c r="A11" s="2" t="s">
        <v>20</v>
      </c>
      <c r="B11" s="2" t="s">
        <v>21</v>
      </c>
      <c r="C11" s="2"/>
    </row>
    <row r="12" spans="1:3" x14ac:dyDescent="0.25">
      <c r="A12" s="2" t="s">
        <v>22</v>
      </c>
      <c r="B12" s="2" t="s">
        <v>23</v>
      </c>
      <c r="C12" s="2"/>
    </row>
    <row r="13" spans="1:3" x14ac:dyDescent="0.25">
      <c r="A13" s="2" t="s">
        <v>24</v>
      </c>
      <c r="B13" s="2" t="s">
        <v>25</v>
      </c>
      <c r="C13" s="2"/>
    </row>
    <row r="14" spans="1:3" x14ac:dyDescent="0.25">
      <c r="A14" s="2" t="s">
        <v>26</v>
      </c>
      <c r="B14" s="2" t="s">
        <v>27</v>
      </c>
      <c r="C14" s="2"/>
    </row>
    <row r="15" spans="1:3" x14ac:dyDescent="0.25">
      <c r="A15" s="2" t="s">
        <v>28</v>
      </c>
      <c r="B15" s="2" t="s">
        <v>29</v>
      </c>
      <c r="C15" s="2"/>
    </row>
    <row r="16" spans="1:3" x14ac:dyDescent="0.25">
      <c r="A16" s="2" t="s">
        <v>30</v>
      </c>
      <c r="B16" s="2" t="s">
        <v>31</v>
      </c>
      <c r="C16" s="2"/>
    </row>
    <row r="17" spans="1:3" x14ac:dyDescent="0.25">
      <c r="A17" s="2" t="s">
        <v>32</v>
      </c>
      <c r="B17" s="2" t="s">
        <v>33</v>
      </c>
      <c r="C17" s="2"/>
    </row>
    <row r="18" spans="1:3" x14ac:dyDescent="0.25">
      <c r="A18" s="2" t="s">
        <v>34</v>
      </c>
      <c r="B18" s="2" t="s">
        <v>35</v>
      </c>
      <c r="C18" s="2"/>
    </row>
    <row r="19" spans="1:3" x14ac:dyDescent="0.25">
      <c r="A19" s="2" t="s">
        <v>36</v>
      </c>
      <c r="B19" s="2" t="s">
        <v>37</v>
      </c>
      <c r="C19" s="2"/>
    </row>
    <row r="20" spans="1:3" x14ac:dyDescent="0.25">
      <c r="A20" s="2" t="s">
        <v>38</v>
      </c>
      <c r="B20" s="2" t="s">
        <v>39</v>
      </c>
      <c r="C20" s="2"/>
    </row>
    <row r="21" spans="1:3" x14ac:dyDescent="0.25">
      <c r="A21" s="2" t="s">
        <v>40</v>
      </c>
      <c r="B21" s="2" t="s">
        <v>41</v>
      </c>
      <c r="C21" s="2"/>
    </row>
    <row r="22" spans="1:3" x14ac:dyDescent="0.25">
      <c r="A22" s="2" t="s">
        <v>42</v>
      </c>
      <c r="B22" s="2" t="s">
        <v>43</v>
      </c>
      <c r="C22" s="2"/>
    </row>
    <row r="23" spans="1:3" x14ac:dyDescent="0.25">
      <c r="A23" s="2" t="s">
        <v>44</v>
      </c>
      <c r="B23" s="2" t="s">
        <v>45</v>
      </c>
      <c r="C23" s="2"/>
    </row>
    <row r="24" spans="1:3" x14ac:dyDescent="0.25">
      <c r="A24" s="2" t="s">
        <v>46</v>
      </c>
      <c r="B24" s="2" t="s">
        <v>47</v>
      </c>
      <c r="C24" s="2"/>
    </row>
    <row r="25" spans="1:3" x14ac:dyDescent="0.25">
      <c r="A25" s="2" t="s">
        <v>48</v>
      </c>
      <c r="B25" s="2" t="s">
        <v>49</v>
      </c>
      <c r="C25" s="2"/>
    </row>
    <row r="26" spans="1:3" x14ac:dyDescent="0.25">
      <c r="A26" s="2" t="s">
        <v>50</v>
      </c>
      <c r="B26" s="2" t="s">
        <v>51</v>
      </c>
      <c r="C26" s="2"/>
    </row>
    <row r="27" spans="1:3" x14ac:dyDescent="0.25">
      <c r="A27" s="2" t="s">
        <v>52</v>
      </c>
      <c r="B27" s="2" t="s">
        <v>53</v>
      </c>
      <c r="C27" s="2"/>
    </row>
    <row r="28" spans="1:3" x14ac:dyDescent="0.25">
      <c r="A28" s="2" t="s">
        <v>54</v>
      </c>
      <c r="B28" s="2" t="s">
        <v>55</v>
      </c>
      <c r="C28" s="2"/>
    </row>
    <row r="29" spans="1:3" x14ac:dyDescent="0.25">
      <c r="A29" s="2" t="s">
        <v>56</v>
      </c>
      <c r="B29" s="2" t="s">
        <v>57</v>
      </c>
      <c r="C29" s="2"/>
    </row>
    <row r="30" spans="1:3" x14ac:dyDescent="0.25">
      <c r="A30" s="2" t="s">
        <v>58</v>
      </c>
      <c r="B30" s="2" t="s">
        <v>59</v>
      </c>
      <c r="C30" s="2"/>
    </row>
    <row r="31" spans="1:3" x14ac:dyDescent="0.25">
      <c r="A31" s="2" t="s">
        <v>60</v>
      </c>
      <c r="B31" s="2" t="s">
        <v>61</v>
      </c>
      <c r="C31" s="2"/>
    </row>
    <row r="32" spans="1:3" x14ac:dyDescent="0.25">
      <c r="A32" s="2" t="s">
        <v>430</v>
      </c>
      <c r="B32" s="2" t="s">
        <v>429</v>
      </c>
    </row>
  </sheetData>
  <autoFilter ref="A1:C31"/>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5"/>
  <sheetViews>
    <sheetView tabSelected="1" workbookViewId="0">
      <pane ySplit="1" topLeftCell="A20" activePane="bottomLeft" state="frozen"/>
      <selection pane="bottomLeft" activeCell="A33" sqref="A33"/>
    </sheetView>
  </sheetViews>
  <sheetFormatPr defaultRowHeight="15" x14ac:dyDescent="0.25"/>
  <cols>
    <col min="1" max="1" width="14" customWidth="1"/>
    <col min="2" max="2" width="20.42578125" customWidth="1"/>
    <col min="3" max="3" width="48.42578125" customWidth="1"/>
    <col min="4" max="4" width="92.42578125" customWidth="1"/>
    <col min="5" max="5" width="55.42578125" customWidth="1"/>
    <col min="6" max="6" width="14" customWidth="1"/>
    <col min="7" max="7" width="25" customWidth="1"/>
    <col min="8" max="8" width="24" customWidth="1"/>
  </cols>
  <sheetData>
    <row r="1" spans="1:8" ht="30" customHeight="1" x14ac:dyDescent="0.25">
      <c r="A1" s="1" t="s">
        <v>73</v>
      </c>
      <c r="B1" s="1" t="s">
        <v>0</v>
      </c>
      <c r="C1" s="1" t="s">
        <v>74</v>
      </c>
      <c r="D1" s="6" t="s">
        <v>64</v>
      </c>
      <c r="E1" s="1" t="s">
        <v>65</v>
      </c>
      <c r="F1" s="1" t="s">
        <v>66</v>
      </c>
      <c r="G1" s="1" t="s">
        <v>67</v>
      </c>
      <c r="H1" s="6" t="s">
        <v>75</v>
      </c>
    </row>
    <row r="2" spans="1:8" ht="60" x14ac:dyDescent="0.25">
      <c r="A2" s="2" t="s">
        <v>76</v>
      </c>
      <c r="B2" s="2" t="s">
        <v>3</v>
      </c>
      <c r="C2" s="4" t="s">
        <v>77</v>
      </c>
      <c r="D2" s="5" t="s">
        <v>90</v>
      </c>
      <c r="E2" s="2" t="s">
        <v>790</v>
      </c>
      <c r="F2" s="2">
        <v>0</v>
      </c>
      <c r="G2" s="2" t="s">
        <v>70</v>
      </c>
      <c r="H2" s="2"/>
    </row>
    <row r="3" spans="1:8" ht="45" x14ac:dyDescent="0.25">
      <c r="A3" s="2" t="s">
        <v>78</v>
      </c>
      <c r="B3" s="2" t="s">
        <v>3</v>
      </c>
      <c r="C3" s="4" t="s">
        <v>79</v>
      </c>
      <c r="D3" s="5" t="s">
        <v>91</v>
      </c>
      <c r="E3" s="2" t="s">
        <v>789</v>
      </c>
      <c r="F3" s="2">
        <v>0</v>
      </c>
      <c r="G3" s="2" t="s">
        <v>70</v>
      </c>
      <c r="H3" s="2"/>
    </row>
    <row r="4" spans="1:8" ht="60" x14ac:dyDescent="0.25">
      <c r="A4" s="2" t="s">
        <v>92</v>
      </c>
      <c r="B4" s="2" t="s">
        <v>3</v>
      </c>
      <c r="C4" s="4" t="s">
        <v>151</v>
      </c>
      <c r="D4" s="7" t="s">
        <v>148</v>
      </c>
      <c r="E4" s="3" t="s">
        <v>773</v>
      </c>
    </row>
    <row r="5" spans="1:8" ht="30" x14ac:dyDescent="0.25">
      <c r="A5" s="2" t="s">
        <v>93</v>
      </c>
      <c r="B5" s="2" t="s">
        <v>3</v>
      </c>
      <c r="C5" s="4" t="s">
        <v>153</v>
      </c>
      <c r="D5" s="7" t="s">
        <v>149</v>
      </c>
      <c r="E5" s="3" t="s">
        <v>774</v>
      </c>
    </row>
    <row r="6" spans="1:8" ht="45" x14ac:dyDescent="0.25">
      <c r="A6" s="2" t="s">
        <v>94</v>
      </c>
      <c r="B6" s="2" t="s">
        <v>3</v>
      </c>
      <c r="C6" s="4" t="s">
        <v>154</v>
      </c>
      <c r="D6" s="7" t="s">
        <v>150</v>
      </c>
      <c r="E6" s="3" t="s">
        <v>775</v>
      </c>
    </row>
    <row r="7" spans="1:8" ht="30" x14ac:dyDescent="0.25">
      <c r="A7" s="2" t="s">
        <v>95</v>
      </c>
      <c r="B7" s="2" t="s">
        <v>3</v>
      </c>
      <c r="C7" s="4" t="s">
        <v>155</v>
      </c>
      <c r="D7" s="7" t="s">
        <v>149</v>
      </c>
      <c r="E7" s="3" t="s">
        <v>778</v>
      </c>
    </row>
    <row r="8" spans="1:8" ht="30" x14ac:dyDescent="0.25">
      <c r="A8" s="2" t="s">
        <v>96</v>
      </c>
      <c r="B8" s="2" t="s">
        <v>3</v>
      </c>
      <c r="C8" s="4" t="s">
        <v>156</v>
      </c>
      <c r="D8" s="7" t="s">
        <v>149</v>
      </c>
      <c r="E8" s="3" t="s">
        <v>779</v>
      </c>
    </row>
    <row r="9" spans="1:8" ht="30" x14ac:dyDescent="0.25">
      <c r="A9" s="2" t="s">
        <v>97</v>
      </c>
      <c r="B9" s="2" t="s">
        <v>3</v>
      </c>
      <c r="C9" s="4" t="s">
        <v>157</v>
      </c>
      <c r="D9" s="7" t="s">
        <v>149</v>
      </c>
      <c r="E9" s="3" t="s">
        <v>780</v>
      </c>
    </row>
    <row r="10" spans="1:8" ht="30" x14ac:dyDescent="0.25">
      <c r="A10" s="2" t="s">
        <v>98</v>
      </c>
      <c r="B10" s="2" t="s">
        <v>3</v>
      </c>
      <c r="C10" s="4" t="s">
        <v>158</v>
      </c>
      <c r="D10" s="7" t="s">
        <v>181</v>
      </c>
      <c r="E10" s="3" t="s">
        <v>776</v>
      </c>
    </row>
    <row r="11" spans="1:8" ht="30" x14ac:dyDescent="0.25">
      <c r="A11" s="2" t="s">
        <v>99</v>
      </c>
      <c r="B11" s="2" t="s">
        <v>3</v>
      </c>
      <c r="C11" s="4" t="s">
        <v>159</v>
      </c>
      <c r="D11" s="7" t="s">
        <v>170</v>
      </c>
      <c r="E11" s="3" t="s">
        <v>777</v>
      </c>
    </row>
    <row r="12" spans="1:8" ht="90" x14ac:dyDescent="0.25">
      <c r="A12" s="2" t="s">
        <v>100</v>
      </c>
      <c r="B12" s="2" t="s">
        <v>3</v>
      </c>
      <c r="C12" s="4" t="s">
        <v>152</v>
      </c>
      <c r="D12" s="7" t="s">
        <v>171</v>
      </c>
      <c r="E12" s="3" t="s">
        <v>781</v>
      </c>
    </row>
    <row r="13" spans="1:8" ht="30" x14ac:dyDescent="0.25">
      <c r="A13" s="2" t="s">
        <v>101</v>
      </c>
      <c r="B13" s="2" t="s">
        <v>3</v>
      </c>
      <c r="C13" s="4" t="s">
        <v>160</v>
      </c>
      <c r="D13" s="7" t="s">
        <v>172</v>
      </c>
      <c r="E13" s="3" t="s">
        <v>782</v>
      </c>
    </row>
    <row r="14" spans="1:8" ht="30" x14ac:dyDescent="0.25">
      <c r="A14" s="2" t="s">
        <v>102</v>
      </c>
      <c r="B14" s="2" t="s">
        <v>3</v>
      </c>
      <c r="C14" s="4" t="s">
        <v>161</v>
      </c>
      <c r="D14" s="7" t="s">
        <v>173</v>
      </c>
      <c r="E14" s="3" t="s">
        <v>783</v>
      </c>
    </row>
    <row r="15" spans="1:8" ht="90" x14ac:dyDescent="0.25">
      <c r="A15" s="2" t="s">
        <v>103</v>
      </c>
      <c r="B15" s="12" t="s">
        <v>3</v>
      </c>
      <c r="C15" s="13" t="s">
        <v>162</v>
      </c>
      <c r="D15" s="14" t="s">
        <v>174</v>
      </c>
      <c r="E15" s="15"/>
    </row>
    <row r="16" spans="1:8" ht="30" x14ac:dyDescent="0.25">
      <c r="A16" s="2" t="s">
        <v>104</v>
      </c>
      <c r="B16" s="2" t="s">
        <v>3</v>
      </c>
      <c r="C16" s="4" t="s">
        <v>163</v>
      </c>
      <c r="D16" s="7" t="s">
        <v>175</v>
      </c>
      <c r="E16" s="3" t="s">
        <v>784</v>
      </c>
    </row>
    <row r="17" spans="1:5" ht="30" x14ac:dyDescent="0.25">
      <c r="A17" s="2" t="s">
        <v>105</v>
      </c>
      <c r="B17" s="2" t="s">
        <v>3</v>
      </c>
      <c r="C17" s="4" t="s">
        <v>164</v>
      </c>
      <c r="D17" s="7" t="s">
        <v>175</v>
      </c>
      <c r="E17" s="3" t="s">
        <v>785</v>
      </c>
    </row>
    <row r="18" spans="1:5" ht="30" x14ac:dyDescent="0.25">
      <c r="A18" s="2" t="s">
        <v>106</v>
      </c>
      <c r="B18" s="2" t="s">
        <v>3</v>
      </c>
      <c r="C18" s="4" t="s">
        <v>165</v>
      </c>
      <c r="D18" s="7" t="s">
        <v>176</v>
      </c>
      <c r="E18" s="3" t="s">
        <v>786</v>
      </c>
    </row>
    <row r="19" spans="1:5" ht="30" x14ac:dyDescent="0.25">
      <c r="A19" s="2" t="s">
        <v>107</v>
      </c>
      <c r="B19" s="2" t="s">
        <v>3</v>
      </c>
      <c r="C19" s="4" t="s">
        <v>166</v>
      </c>
      <c r="D19" s="8" t="s">
        <v>180</v>
      </c>
      <c r="E19" s="3" t="s">
        <v>787</v>
      </c>
    </row>
    <row r="20" spans="1:5" ht="60" x14ac:dyDescent="0.25">
      <c r="A20" s="2" t="s">
        <v>108</v>
      </c>
      <c r="B20" s="2" t="s">
        <v>3</v>
      </c>
      <c r="C20" s="4" t="s">
        <v>167</v>
      </c>
      <c r="D20" s="7" t="s">
        <v>177</v>
      </c>
      <c r="E20" s="3" t="s">
        <v>788</v>
      </c>
    </row>
    <row r="21" spans="1:5" ht="60" x14ac:dyDescent="0.25">
      <c r="A21" s="2" t="s">
        <v>109</v>
      </c>
      <c r="B21" s="2" t="s">
        <v>3</v>
      </c>
      <c r="C21" s="4" t="s">
        <v>168</v>
      </c>
      <c r="D21" s="7" t="s">
        <v>178</v>
      </c>
      <c r="E21" s="3" t="s">
        <v>791</v>
      </c>
    </row>
    <row r="22" spans="1:5" ht="75" x14ac:dyDescent="0.25">
      <c r="A22" s="2" t="s">
        <v>110</v>
      </c>
      <c r="B22" s="2" t="s">
        <v>3</v>
      </c>
      <c r="C22" s="4" t="s">
        <v>169</v>
      </c>
      <c r="D22" s="7" t="s">
        <v>179</v>
      </c>
      <c r="E22" s="3" t="s">
        <v>788</v>
      </c>
    </row>
    <row r="23" spans="1:5" ht="30" x14ac:dyDescent="0.25">
      <c r="A23" s="2" t="s">
        <v>111</v>
      </c>
      <c r="B23" s="2" t="s">
        <v>5</v>
      </c>
      <c r="C23" s="4" t="s">
        <v>182</v>
      </c>
      <c r="D23" s="7" t="s">
        <v>188</v>
      </c>
      <c r="E23" s="3" t="s">
        <v>792</v>
      </c>
    </row>
    <row r="24" spans="1:5" ht="30" x14ac:dyDescent="0.25">
      <c r="A24" s="2" t="s">
        <v>112</v>
      </c>
      <c r="B24" s="2" t="s">
        <v>5</v>
      </c>
      <c r="C24" s="4" t="s">
        <v>162</v>
      </c>
      <c r="D24" s="7" t="s">
        <v>189</v>
      </c>
      <c r="E24" s="3" t="s">
        <v>793</v>
      </c>
    </row>
    <row r="25" spans="1:5" ht="30" x14ac:dyDescent="0.25">
      <c r="A25" s="2" t="s">
        <v>113</v>
      </c>
      <c r="B25" s="2" t="s">
        <v>5</v>
      </c>
      <c r="C25" s="4" t="s">
        <v>183</v>
      </c>
      <c r="D25" s="7" t="s">
        <v>190</v>
      </c>
      <c r="E25" s="3" t="s">
        <v>794</v>
      </c>
    </row>
    <row r="26" spans="1:5" ht="30" x14ac:dyDescent="0.25">
      <c r="A26" s="2" t="s">
        <v>114</v>
      </c>
      <c r="B26" s="2" t="s">
        <v>5</v>
      </c>
      <c r="C26" s="4" t="s">
        <v>184</v>
      </c>
      <c r="D26" s="7" t="s">
        <v>191</v>
      </c>
      <c r="E26" s="3" t="s">
        <v>795</v>
      </c>
    </row>
    <row r="27" spans="1:5" ht="30" x14ac:dyDescent="0.25">
      <c r="A27" s="2" t="s">
        <v>115</v>
      </c>
      <c r="B27" s="2" t="s">
        <v>7</v>
      </c>
      <c r="C27" s="4" t="s">
        <v>184</v>
      </c>
      <c r="D27" s="7" t="s">
        <v>192</v>
      </c>
      <c r="E27" s="3" t="s">
        <v>796</v>
      </c>
    </row>
    <row r="28" spans="1:5" x14ac:dyDescent="0.25">
      <c r="A28" s="2" t="s">
        <v>116</v>
      </c>
      <c r="B28" s="2" t="s">
        <v>7</v>
      </c>
      <c r="C28" s="4" t="s">
        <v>185</v>
      </c>
      <c r="D28" s="7" t="s">
        <v>193</v>
      </c>
      <c r="E28" s="3" t="s">
        <v>797</v>
      </c>
    </row>
    <row r="29" spans="1:5" x14ac:dyDescent="0.25">
      <c r="A29" s="2" t="s">
        <v>117</v>
      </c>
      <c r="B29" s="2" t="s">
        <v>7</v>
      </c>
      <c r="C29" s="4" t="s">
        <v>182</v>
      </c>
      <c r="D29" s="7" t="s">
        <v>194</v>
      </c>
      <c r="E29" s="3" t="s">
        <v>799</v>
      </c>
    </row>
    <row r="30" spans="1:5" x14ac:dyDescent="0.25">
      <c r="A30" s="2" t="s">
        <v>118</v>
      </c>
      <c r="B30" s="2" t="s">
        <v>7</v>
      </c>
      <c r="C30" s="4" t="s">
        <v>162</v>
      </c>
      <c r="D30" s="7" t="s">
        <v>195</v>
      </c>
      <c r="E30" s="3" t="s">
        <v>800</v>
      </c>
    </row>
    <row r="31" spans="1:5" ht="39" customHeight="1" x14ac:dyDescent="0.25">
      <c r="A31" s="2" t="s">
        <v>119</v>
      </c>
      <c r="B31" s="2" t="s">
        <v>7</v>
      </c>
      <c r="C31" s="4" t="s">
        <v>186</v>
      </c>
      <c r="D31" s="7" t="s">
        <v>196</v>
      </c>
      <c r="E31" s="3" t="s">
        <v>801</v>
      </c>
    </row>
    <row r="32" spans="1:5" ht="41.25" customHeight="1" x14ac:dyDescent="0.25">
      <c r="A32" s="2" t="s">
        <v>120</v>
      </c>
      <c r="B32" s="2" t="s">
        <v>7</v>
      </c>
      <c r="C32" s="4" t="s">
        <v>187</v>
      </c>
      <c r="D32" s="7" t="s">
        <v>197</v>
      </c>
      <c r="E32" s="3" t="s">
        <v>798</v>
      </c>
    </row>
    <row r="33" spans="1:8" ht="29.25" customHeight="1" x14ac:dyDescent="0.25">
      <c r="A33" s="2" t="s">
        <v>121</v>
      </c>
      <c r="B33" s="2" t="s">
        <v>7</v>
      </c>
      <c r="C33" s="4" t="s">
        <v>184</v>
      </c>
      <c r="D33" s="7" t="s">
        <v>198</v>
      </c>
    </row>
    <row r="34" spans="1:8" ht="30" x14ac:dyDescent="0.25">
      <c r="A34" s="2" t="s">
        <v>122</v>
      </c>
      <c r="B34" s="2" t="s">
        <v>9</v>
      </c>
      <c r="C34" s="4" t="s">
        <v>199</v>
      </c>
      <c r="D34" s="7" t="s">
        <v>218</v>
      </c>
    </row>
    <row r="35" spans="1:8" ht="75" x14ac:dyDescent="0.25">
      <c r="A35" s="2" t="s">
        <v>123</v>
      </c>
      <c r="B35" s="2" t="s">
        <v>9</v>
      </c>
      <c r="C35" s="4" t="s">
        <v>200</v>
      </c>
      <c r="D35" s="3" t="s">
        <v>217</v>
      </c>
    </row>
    <row r="36" spans="1:8" ht="30" x14ac:dyDescent="0.25">
      <c r="A36" s="2" t="s">
        <v>124</v>
      </c>
      <c r="B36" s="2" t="s">
        <v>9</v>
      </c>
      <c r="C36" s="4" t="s">
        <v>183</v>
      </c>
      <c r="D36" s="7" t="s">
        <v>216</v>
      </c>
    </row>
    <row r="37" spans="1:8" x14ac:dyDescent="0.25">
      <c r="A37" s="2" t="s">
        <v>125</v>
      </c>
      <c r="B37" s="2" t="s">
        <v>9</v>
      </c>
      <c r="C37" s="4" t="s">
        <v>201</v>
      </c>
      <c r="D37" s="3" t="s">
        <v>215</v>
      </c>
    </row>
    <row r="38" spans="1:8" x14ac:dyDescent="0.25">
      <c r="A38" s="2" t="s">
        <v>126</v>
      </c>
      <c r="B38" s="2" t="s">
        <v>9</v>
      </c>
      <c r="C38" s="4" t="s">
        <v>202</v>
      </c>
      <c r="D38" s="3" t="s">
        <v>214</v>
      </c>
    </row>
    <row r="39" spans="1:8" x14ac:dyDescent="0.25">
      <c r="A39" s="2" t="s">
        <v>127</v>
      </c>
      <c r="B39" s="2" t="s">
        <v>9</v>
      </c>
      <c r="C39" s="4" t="s">
        <v>187</v>
      </c>
      <c r="D39" s="3" t="s">
        <v>213</v>
      </c>
    </row>
    <row r="40" spans="1:8" ht="60" x14ac:dyDescent="0.25">
      <c r="A40" s="2" t="s">
        <v>128</v>
      </c>
      <c r="B40" s="2" t="s">
        <v>9</v>
      </c>
      <c r="C40" s="4" t="s">
        <v>203</v>
      </c>
      <c r="D40" s="3" t="s">
        <v>212</v>
      </c>
    </row>
    <row r="41" spans="1:8" ht="30" x14ac:dyDescent="0.25">
      <c r="A41" s="2" t="s">
        <v>129</v>
      </c>
      <c r="B41" s="2" t="s">
        <v>9</v>
      </c>
      <c r="C41" s="4" t="s">
        <v>204</v>
      </c>
      <c r="D41" s="3" t="s">
        <v>211</v>
      </c>
    </row>
    <row r="42" spans="1:8" ht="45" x14ac:dyDescent="0.25">
      <c r="A42" s="2" t="s">
        <v>130</v>
      </c>
      <c r="B42" s="2" t="s">
        <v>9</v>
      </c>
      <c r="C42" s="4" t="s">
        <v>205</v>
      </c>
      <c r="D42" s="3" t="s">
        <v>210</v>
      </c>
    </row>
    <row r="43" spans="1:8" ht="45" x14ac:dyDescent="0.25">
      <c r="A43" s="2" t="s">
        <v>131</v>
      </c>
      <c r="B43" s="2" t="s">
        <v>9</v>
      </c>
      <c r="C43" s="4" t="s">
        <v>206</v>
      </c>
      <c r="D43" s="3" t="s">
        <v>209</v>
      </c>
    </row>
    <row r="44" spans="1:8" ht="45" x14ac:dyDescent="0.25">
      <c r="A44" s="2" t="s">
        <v>132</v>
      </c>
      <c r="B44" s="2" t="s">
        <v>9</v>
      </c>
      <c r="C44" s="4" t="s">
        <v>207</v>
      </c>
      <c r="D44" s="3" t="s">
        <v>208</v>
      </c>
      <c r="H44" t="e">
        <f>+D34D33:D44D32:D44DD36:H44</f>
        <v>#NAME?</v>
      </c>
    </row>
    <row r="45" spans="1:8" ht="30" x14ac:dyDescent="0.25">
      <c r="A45" s="2" t="s">
        <v>133</v>
      </c>
      <c r="B45" s="2" t="s">
        <v>11</v>
      </c>
      <c r="C45" t="s">
        <v>219</v>
      </c>
      <c r="D45" s="3" t="s">
        <v>220</v>
      </c>
    </row>
    <row r="46" spans="1:8" ht="45" x14ac:dyDescent="0.25">
      <c r="A46" s="2" t="s">
        <v>134</v>
      </c>
      <c r="B46" s="2" t="s">
        <v>11</v>
      </c>
      <c r="C46" t="s">
        <v>203</v>
      </c>
      <c r="D46" s="3" t="s">
        <v>221</v>
      </c>
    </row>
    <row r="47" spans="1:8" ht="45" x14ac:dyDescent="0.25">
      <c r="A47" s="2" t="s">
        <v>135</v>
      </c>
      <c r="B47" s="2" t="s">
        <v>11</v>
      </c>
      <c r="C47" t="s">
        <v>222</v>
      </c>
      <c r="D47" s="3" t="s">
        <v>223</v>
      </c>
    </row>
    <row r="48" spans="1:8" ht="45" x14ac:dyDescent="0.25">
      <c r="A48" s="2" t="s">
        <v>136</v>
      </c>
      <c r="B48" s="2" t="s">
        <v>12</v>
      </c>
      <c r="C48" t="s">
        <v>224</v>
      </c>
      <c r="D48" s="3" t="s">
        <v>225</v>
      </c>
    </row>
    <row r="49" spans="1:4" ht="30" x14ac:dyDescent="0.25">
      <c r="A49" s="2" t="s">
        <v>137</v>
      </c>
      <c r="B49" s="2" t="s">
        <v>14</v>
      </c>
      <c r="C49" t="s">
        <v>226</v>
      </c>
      <c r="D49" s="3" t="s">
        <v>227</v>
      </c>
    </row>
    <row r="50" spans="1:4" ht="30" x14ac:dyDescent="0.25">
      <c r="A50" s="2" t="s">
        <v>138</v>
      </c>
      <c r="B50" s="2" t="s">
        <v>14</v>
      </c>
      <c r="C50" t="s">
        <v>228</v>
      </c>
      <c r="D50" s="3" t="s">
        <v>229</v>
      </c>
    </row>
    <row r="51" spans="1:4" ht="45" x14ac:dyDescent="0.25">
      <c r="A51" s="2" t="s">
        <v>139</v>
      </c>
      <c r="B51" s="2" t="s">
        <v>14</v>
      </c>
      <c r="C51" t="s">
        <v>230</v>
      </c>
      <c r="D51" s="3" t="s">
        <v>231</v>
      </c>
    </row>
    <row r="52" spans="1:4" ht="45" x14ac:dyDescent="0.25">
      <c r="A52" s="2" t="s">
        <v>140</v>
      </c>
      <c r="B52" s="2" t="s">
        <v>14</v>
      </c>
      <c r="C52" t="s">
        <v>224</v>
      </c>
      <c r="D52" s="3" t="s">
        <v>225</v>
      </c>
    </row>
    <row r="53" spans="1:4" ht="45" x14ac:dyDescent="0.25">
      <c r="A53" s="2" t="s">
        <v>141</v>
      </c>
      <c r="B53" s="2" t="s">
        <v>14</v>
      </c>
      <c r="C53" t="s">
        <v>232</v>
      </c>
      <c r="D53" s="3" t="s">
        <v>233</v>
      </c>
    </row>
    <row r="54" spans="1:4" ht="30" x14ac:dyDescent="0.25">
      <c r="A54" s="2" t="s">
        <v>142</v>
      </c>
      <c r="B54" s="2" t="s">
        <v>14</v>
      </c>
      <c r="C54" t="s">
        <v>234</v>
      </c>
      <c r="D54" s="3" t="s">
        <v>235</v>
      </c>
    </row>
    <row r="55" spans="1:4" ht="45" x14ac:dyDescent="0.25">
      <c r="A55" s="2" t="s">
        <v>143</v>
      </c>
      <c r="B55" s="2" t="s">
        <v>14</v>
      </c>
      <c r="C55" t="s">
        <v>236</v>
      </c>
      <c r="D55" s="3" t="s">
        <v>237</v>
      </c>
    </row>
    <row r="56" spans="1:4" ht="30" x14ac:dyDescent="0.25">
      <c r="A56" s="2" t="s">
        <v>144</v>
      </c>
      <c r="B56" s="2" t="s">
        <v>14</v>
      </c>
      <c r="C56" t="s">
        <v>238</v>
      </c>
      <c r="D56" s="3" t="s">
        <v>239</v>
      </c>
    </row>
    <row r="57" spans="1:4" ht="30" x14ac:dyDescent="0.25">
      <c r="A57" s="2" t="s">
        <v>145</v>
      </c>
      <c r="B57" s="2" t="s">
        <v>14</v>
      </c>
      <c r="C57" t="s">
        <v>240</v>
      </c>
      <c r="D57" s="3" t="s">
        <v>241</v>
      </c>
    </row>
    <row r="58" spans="1:4" ht="30" x14ac:dyDescent="0.25">
      <c r="A58" s="2" t="s">
        <v>146</v>
      </c>
      <c r="B58" s="2" t="s">
        <v>14</v>
      </c>
      <c r="C58" t="s">
        <v>242</v>
      </c>
      <c r="D58" s="3" t="s">
        <v>243</v>
      </c>
    </row>
    <row r="59" spans="1:4" x14ac:dyDescent="0.25">
      <c r="A59" s="2" t="s">
        <v>147</v>
      </c>
      <c r="B59" s="2" t="s">
        <v>14</v>
      </c>
      <c r="C59" t="s">
        <v>244</v>
      </c>
      <c r="D59" s="3" t="s">
        <v>245</v>
      </c>
    </row>
    <row r="60" spans="1:4" ht="30" x14ac:dyDescent="0.25">
      <c r="B60" s="2" t="s">
        <v>14</v>
      </c>
      <c r="C60" t="s">
        <v>246</v>
      </c>
      <c r="D60" s="3" t="s">
        <v>247</v>
      </c>
    </row>
    <row r="61" spans="1:4" ht="30" x14ac:dyDescent="0.25">
      <c r="B61" s="2" t="s">
        <v>14</v>
      </c>
      <c r="C61" t="s">
        <v>248</v>
      </c>
      <c r="D61" s="3" t="s">
        <v>249</v>
      </c>
    </row>
    <row r="62" spans="1:4" ht="30" x14ac:dyDescent="0.25">
      <c r="B62" s="2" t="s">
        <v>14</v>
      </c>
      <c r="C62" t="s">
        <v>250</v>
      </c>
      <c r="D62" s="3" t="s">
        <v>251</v>
      </c>
    </row>
    <row r="63" spans="1:4" ht="30" x14ac:dyDescent="0.25">
      <c r="B63" s="2" t="s">
        <v>14</v>
      </c>
      <c r="C63" s="2" t="s">
        <v>252</v>
      </c>
      <c r="D63" s="2" t="s">
        <v>253</v>
      </c>
    </row>
    <row r="64" spans="1:4" ht="30" x14ac:dyDescent="0.25">
      <c r="B64" s="2" t="s">
        <v>14</v>
      </c>
      <c r="C64" s="2" t="s">
        <v>254</v>
      </c>
      <c r="D64" s="2" t="s">
        <v>255</v>
      </c>
    </row>
    <row r="65" spans="2:4" ht="30" x14ac:dyDescent="0.25">
      <c r="B65" s="2" t="s">
        <v>14</v>
      </c>
      <c r="C65" s="2" t="s">
        <v>256</v>
      </c>
      <c r="D65" s="2" t="s">
        <v>257</v>
      </c>
    </row>
    <row r="66" spans="2:4" ht="30" x14ac:dyDescent="0.25">
      <c r="B66" s="2" t="s">
        <v>14</v>
      </c>
      <c r="C66" s="2" t="s">
        <v>258</v>
      </c>
      <c r="D66" s="2" t="s">
        <v>259</v>
      </c>
    </row>
    <row r="67" spans="2:4" ht="30" x14ac:dyDescent="0.25">
      <c r="B67" s="2" t="s">
        <v>14</v>
      </c>
      <c r="C67" s="2" t="s">
        <v>260</v>
      </c>
      <c r="D67" s="2" t="s">
        <v>243</v>
      </c>
    </row>
    <row r="68" spans="2:4" ht="45" x14ac:dyDescent="0.25">
      <c r="B68" s="2" t="s">
        <v>16</v>
      </c>
      <c r="C68" s="2" t="s">
        <v>224</v>
      </c>
      <c r="D68" s="2" t="s">
        <v>261</v>
      </c>
    </row>
    <row r="69" spans="2:4" ht="30" x14ac:dyDescent="0.25">
      <c r="B69" s="2" t="s">
        <v>16</v>
      </c>
      <c r="C69" s="2" t="s">
        <v>228</v>
      </c>
      <c r="D69" s="2" t="s">
        <v>262</v>
      </c>
    </row>
    <row r="70" spans="2:4" ht="30" x14ac:dyDescent="0.25">
      <c r="B70" s="2" t="s">
        <v>16</v>
      </c>
      <c r="C70" s="2" t="s">
        <v>230</v>
      </c>
      <c r="D70" s="2" t="s">
        <v>263</v>
      </c>
    </row>
    <row r="71" spans="2:4" ht="30" x14ac:dyDescent="0.25">
      <c r="B71" s="2" t="s">
        <v>16</v>
      </c>
      <c r="C71" s="2" t="s">
        <v>226</v>
      </c>
      <c r="D71" s="2" t="s">
        <v>227</v>
      </c>
    </row>
    <row r="72" spans="2:4" ht="30" x14ac:dyDescent="0.25">
      <c r="B72" s="2" t="s">
        <v>16</v>
      </c>
      <c r="C72" s="2" t="s">
        <v>264</v>
      </c>
      <c r="D72" s="2" t="s">
        <v>265</v>
      </c>
    </row>
    <row r="73" spans="2:4" ht="30" x14ac:dyDescent="0.25">
      <c r="B73" s="2" t="s">
        <v>16</v>
      </c>
      <c r="C73" s="2" t="s">
        <v>242</v>
      </c>
      <c r="D73" s="2" t="s">
        <v>243</v>
      </c>
    </row>
    <row r="74" spans="2:4" ht="30" x14ac:dyDescent="0.25">
      <c r="B74" s="2" t="s">
        <v>16</v>
      </c>
      <c r="C74" s="2" t="s">
        <v>244</v>
      </c>
      <c r="D74" s="2" t="s">
        <v>266</v>
      </c>
    </row>
    <row r="75" spans="2:4" ht="30" x14ac:dyDescent="0.25">
      <c r="B75" s="2" t="s">
        <v>16</v>
      </c>
      <c r="C75" s="2" t="s">
        <v>238</v>
      </c>
      <c r="D75" s="2" t="s">
        <v>267</v>
      </c>
    </row>
    <row r="76" spans="2:4" ht="30" x14ac:dyDescent="0.25">
      <c r="B76" s="2" t="s">
        <v>16</v>
      </c>
      <c r="C76" s="2" t="s">
        <v>240</v>
      </c>
      <c r="D76" s="2" t="s">
        <v>267</v>
      </c>
    </row>
    <row r="77" spans="2:4" ht="45" x14ac:dyDescent="0.25">
      <c r="B77" s="2" t="s">
        <v>16</v>
      </c>
      <c r="C77" s="2" t="s">
        <v>246</v>
      </c>
      <c r="D77" s="2" t="s">
        <v>268</v>
      </c>
    </row>
    <row r="78" spans="2:4" ht="30" x14ac:dyDescent="0.25">
      <c r="B78" s="2" t="s">
        <v>16</v>
      </c>
      <c r="C78" s="2" t="s">
        <v>256</v>
      </c>
      <c r="D78" s="2" t="s">
        <v>269</v>
      </c>
    </row>
    <row r="79" spans="2:4" ht="45" x14ac:dyDescent="0.25">
      <c r="B79" s="2" t="s">
        <v>18</v>
      </c>
      <c r="C79" s="2" t="s">
        <v>224</v>
      </c>
      <c r="D79" s="2" t="s">
        <v>261</v>
      </c>
    </row>
    <row r="80" spans="2:4" ht="30" x14ac:dyDescent="0.25">
      <c r="B80" s="2" t="s">
        <v>18</v>
      </c>
      <c r="C80" s="2" t="s">
        <v>228</v>
      </c>
      <c r="D80" s="2" t="s">
        <v>262</v>
      </c>
    </row>
    <row r="81" spans="2:4" ht="30" x14ac:dyDescent="0.25">
      <c r="B81" s="2" t="s">
        <v>18</v>
      </c>
      <c r="C81" s="2" t="s">
        <v>230</v>
      </c>
      <c r="D81" s="2" t="s">
        <v>270</v>
      </c>
    </row>
    <row r="82" spans="2:4" ht="30" x14ac:dyDescent="0.25">
      <c r="B82" s="2" t="s">
        <v>18</v>
      </c>
      <c r="C82" s="2" t="s">
        <v>226</v>
      </c>
      <c r="D82" s="2" t="s">
        <v>227</v>
      </c>
    </row>
    <row r="83" spans="2:4" ht="30" x14ac:dyDescent="0.25">
      <c r="B83" s="2" t="s">
        <v>18</v>
      </c>
      <c r="C83" s="2" t="s">
        <v>264</v>
      </c>
      <c r="D83" s="2" t="s">
        <v>265</v>
      </c>
    </row>
    <row r="84" spans="2:4" ht="30" x14ac:dyDescent="0.25">
      <c r="B84" s="2" t="s">
        <v>18</v>
      </c>
      <c r="C84" s="2" t="s">
        <v>242</v>
      </c>
      <c r="D84" s="2" t="s">
        <v>243</v>
      </c>
    </row>
    <row r="85" spans="2:4" ht="30" x14ac:dyDescent="0.25">
      <c r="B85" s="2" t="s">
        <v>18</v>
      </c>
      <c r="C85" s="2" t="s">
        <v>244</v>
      </c>
      <c r="D85" s="2" t="s">
        <v>266</v>
      </c>
    </row>
    <row r="86" spans="2:4" ht="30" x14ac:dyDescent="0.25">
      <c r="B86" s="2" t="s">
        <v>18</v>
      </c>
      <c r="C86" s="2" t="s">
        <v>238</v>
      </c>
      <c r="D86" s="2" t="s">
        <v>267</v>
      </c>
    </row>
    <row r="87" spans="2:4" ht="30" x14ac:dyDescent="0.25">
      <c r="B87" s="2" t="s">
        <v>18</v>
      </c>
      <c r="C87" s="2" t="s">
        <v>240</v>
      </c>
      <c r="D87" s="2" t="s">
        <v>241</v>
      </c>
    </row>
    <row r="88" spans="2:4" ht="30" x14ac:dyDescent="0.25">
      <c r="B88" s="2" t="s">
        <v>18</v>
      </c>
      <c r="C88" s="2" t="s">
        <v>246</v>
      </c>
      <c r="D88" s="2" t="s">
        <v>247</v>
      </c>
    </row>
    <row r="89" spans="2:4" ht="30" x14ac:dyDescent="0.25">
      <c r="C89" s="2" t="s">
        <v>256</v>
      </c>
      <c r="D89" s="2" t="s">
        <v>271</v>
      </c>
    </row>
    <row r="90" spans="2:4" ht="30" x14ac:dyDescent="0.25">
      <c r="B90" s="2" t="s">
        <v>20</v>
      </c>
      <c r="C90" s="2" t="s">
        <v>226</v>
      </c>
      <c r="D90" s="2" t="s">
        <v>227</v>
      </c>
    </row>
    <row r="91" spans="2:4" ht="30" x14ac:dyDescent="0.25">
      <c r="B91" s="2" t="s">
        <v>20</v>
      </c>
      <c r="C91" s="2" t="s">
        <v>228</v>
      </c>
      <c r="D91" s="2" t="s">
        <v>262</v>
      </c>
    </row>
    <row r="92" spans="2:4" ht="30" x14ac:dyDescent="0.25">
      <c r="B92" s="2" t="s">
        <v>20</v>
      </c>
      <c r="C92" s="2" t="s">
        <v>230</v>
      </c>
      <c r="D92" s="2" t="s">
        <v>263</v>
      </c>
    </row>
    <row r="93" spans="2:4" ht="45" x14ac:dyDescent="0.25">
      <c r="B93" s="2" t="s">
        <v>20</v>
      </c>
      <c r="C93" s="2" t="s">
        <v>224</v>
      </c>
      <c r="D93" s="2" t="s">
        <v>261</v>
      </c>
    </row>
    <row r="94" spans="2:4" ht="30" x14ac:dyDescent="0.25">
      <c r="B94" s="2" t="s">
        <v>20</v>
      </c>
      <c r="C94" s="2" t="s">
        <v>242</v>
      </c>
      <c r="D94" s="2" t="s">
        <v>243</v>
      </c>
    </row>
    <row r="95" spans="2:4" ht="30" x14ac:dyDescent="0.25">
      <c r="B95" s="2" t="s">
        <v>20</v>
      </c>
      <c r="C95" s="2" t="s">
        <v>244</v>
      </c>
      <c r="D95" s="2" t="s">
        <v>272</v>
      </c>
    </row>
    <row r="96" spans="2:4" ht="30" x14ac:dyDescent="0.25">
      <c r="B96" s="2" t="s">
        <v>20</v>
      </c>
      <c r="C96" s="2" t="s">
        <v>238</v>
      </c>
      <c r="D96" s="2" t="s">
        <v>267</v>
      </c>
    </row>
    <row r="97" spans="2:4" ht="30" x14ac:dyDescent="0.25">
      <c r="B97" s="2" t="s">
        <v>20</v>
      </c>
      <c r="C97" s="2" t="s">
        <v>246</v>
      </c>
      <c r="D97" s="2" t="s">
        <v>273</v>
      </c>
    </row>
    <row r="98" spans="2:4" ht="30" x14ac:dyDescent="0.25">
      <c r="B98" s="2" t="s">
        <v>20</v>
      </c>
      <c r="C98" s="2" t="s">
        <v>256</v>
      </c>
      <c r="D98" s="2" t="s">
        <v>257</v>
      </c>
    </row>
    <row r="99" spans="2:4" ht="45" x14ac:dyDescent="0.25">
      <c r="B99" s="2" t="s">
        <v>22</v>
      </c>
      <c r="C99" s="2" t="s">
        <v>224</v>
      </c>
      <c r="D99" s="2" t="s">
        <v>261</v>
      </c>
    </row>
    <row r="100" spans="2:4" ht="30" x14ac:dyDescent="0.25">
      <c r="B100" s="2" t="s">
        <v>22</v>
      </c>
      <c r="C100" s="2" t="s">
        <v>274</v>
      </c>
      <c r="D100" s="2" t="s">
        <v>263</v>
      </c>
    </row>
    <row r="101" spans="2:4" ht="30" x14ac:dyDescent="0.25">
      <c r="B101" s="2" t="s">
        <v>22</v>
      </c>
      <c r="C101" s="2" t="s">
        <v>275</v>
      </c>
      <c r="D101" s="2" t="s">
        <v>276</v>
      </c>
    </row>
    <row r="102" spans="2:4" ht="30" x14ac:dyDescent="0.25">
      <c r="B102" s="2" t="s">
        <v>22</v>
      </c>
      <c r="C102" s="2" t="s">
        <v>278</v>
      </c>
      <c r="D102" s="2" t="s">
        <v>279</v>
      </c>
    </row>
    <row r="103" spans="2:4" ht="45" x14ac:dyDescent="0.25">
      <c r="B103" s="2" t="s">
        <v>24</v>
      </c>
      <c r="C103" s="2" t="s">
        <v>280</v>
      </c>
      <c r="D103" s="2" t="s">
        <v>281</v>
      </c>
    </row>
    <row r="104" spans="2:4" ht="45" x14ac:dyDescent="0.25">
      <c r="B104" s="2" t="s">
        <v>24</v>
      </c>
      <c r="C104" s="2" t="s">
        <v>282</v>
      </c>
      <c r="D104" s="2" t="s">
        <v>283</v>
      </c>
    </row>
    <row r="105" spans="2:4" ht="60" x14ac:dyDescent="0.25">
      <c r="B105" s="2" t="s">
        <v>24</v>
      </c>
      <c r="C105" s="2" t="s">
        <v>284</v>
      </c>
      <c r="D105" s="2" t="s">
        <v>285</v>
      </c>
    </row>
    <row r="106" spans="2:4" ht="75" x14ac:dyDescent="0.25">
      <c r="B106" s="2" t="s">
        <v>24</v>
      </c>
      <c r="C106" s="2" t="s">
        <v>286</v>
      </c>
      <c r="D106" s="2" t="s">
        <v>287</v>
      </c>
    </row>
    <row r="107" spans="2:4" ht="60" x14ac:dyDescent="0.25">
      <c r="B107" s="2" t="s">
        <v>24</v>
      </c>
      <c r="C107" s="2" t="s">
        <v>288</v>
      </c>
      <c r="D107" s="2" t="s">
        <v>289</v>
      </c>
    </row>
    <row r="108" spans="2:4" ht="60" x14ac:dyDescent="0.25">
      <c r="B108" s="2" t="s">
        <v>24</v>
      </c>
      <c r="C108" s="2" t="s">
        <v>224</v>
      </c>
      <c r="D108" s="2" t="s">
        <v>290</v>
      </c>
    </row>
    <row r="109" spans="2:4" ht="30" x14ac:dyDescent="0.25">
      <c r="B109" s="2" t="s">
        <v>24</v>
      </c>
      <c r="C109" s="2" t="s">
        <v>291</v>
      </c>
      <c r="D109" s="2" t="s">
        <v>292</v>
      </c>
    </row>
    <row r="110" spans="2:4" ht="75" x14ac:dyDescent="0.25">
      <c r="B110" s="2" t="s">
        <v>24</v>
      </c>
      <c r="C110" s="2" t="s">
        <v>293</v>
      </c>
      <c r="D110" s="2" t="s">
        <v>294</v>
      </c>
    </row>
    <row r="111" spans="2:4" ht="30" x14ac:dyDescent="0.25">
      <c r="B111" s="2" t="s">
        <v>24</v>
      </c>
      <c r="C111" s="2" t="s">
        <v>295</v>
      </c>
      <c r="D111" s="2" t="s">
        <v>296</v>
      </c>
    </row>
    <row r="112" spans="2:4" ht="30" x14ac:dyDescent="0.25">
      <c r="B112" s="2" t="s">
        <v>26</v>
      </c>
      <c r="C112" s="2" t="s">
        <v>297</v>
      </c>
      <c r="D112" s="2" t="s">
        <v>298</v>
      </c>
    </row>
    <row r="113" spans="2:4" ht="30" x14ac:dyDescent="0.25">
      <c r="B113" s="2" t="s">
        <v>26</v>
      </c>
      <c r="C113" s="2" t="s">
        <v>299</v>
      </c>
      <c r="D113" s="2" t="s">
        <v>300</v>
      </c>
    </row>
    <row r="114" spans="2:4" ht="30" x14ac:dyDescent="0.25">
      <c r="B114" s="2" t="s">
        <v>26</v>
      </c>
      <c r="C114" s="2" t="s">
        <v>301</v>
      </c>
      <c r="D114" s="2" t="s">
        <v>302</v>
      </c>
    </row>
    <row r="115" spans="2:4" ht="45" x14ac:dyDescent="0.25">
      <c r="B115" s="2" t="s">
        <v>26</v>
      </c>
      <c r="C115" s="2" t="s">
        <v>303</v>
      </c>
      <c r="D115" s="2" t="s">
        <v>304</v>
      </c>
    </row>
    <row r="116" spans="2:4" ht="45" x14ac:dyDescent="0.25">
      <c r="B116" s="2" t="s">
        <v>28</v>
      </c>
      <c r="C116" s="2" t="s">
        <v>305</v>
      </c>
      <c r="D116" s="2" t="s">
        <v>306</v>
      </c>
    </row>
    <row r="117" spans="2:4" x14ac:dyDescent="0.25">
      <c r="B117" s="2" t="s">
        <v>30</v>
      </c>
      <c r="C117" s="2" t="s">
        <v>307</v>
      </c>
      <c r="D117" s="2" t="s">
        <v>308</v>
      </c>
    </row>
    <row r="118" spans="2:4" x14ac:dyDescent="0.25">
      <c r="B118" s="2" t="s">
        <v>30</v>
      </c>
      <c r="C118" s="2" t="s">
        <v>309</v>
      </c>
      <c r="D118" s="2" t="s">
        <v>310</v>
      </c>
    </row>
    <row r="119" spans="2:4" ht="60" x14ac:dyDescent="0.25">
      <c r="B119" s="2" t="s">
        <v>30</v>
      </c>
      <c r="C119" s="2" t="s">
        <v>311</v>
      </c>
      <c r="D119" s="2" t="s">
        <v>312</v>
      </c>
    </row>
    <row r="120" spans="2:4" ht="45" x14ac:dyDescent="0.25">
      <c r="B120" s="2" t="s">
        <v>32</v>
      </c>
      <c r="C120" s="2" t="s">
        <v>313</v>
      </c>
      <c r="D120" s="2" t="s">
        <v>314</v>
      </c>
    </row>
    <row r="121" spans="2:4" ht="45" x14ac:dyDescent="0.25">
      <c r="B121" s="2" t="s">
        <v>32</v>
      </c>
      <c r="C121" s="2" t="s">
        <v>315</v>
      </c>
      <c r="D121" s="2" t="s">
        <v>316</v>
      </c>
    </row>
    <row r="122" spans="2:4" ht="45" x14ac:dyDescent="0.25">
      <c r="B122" s="2" t="s">
        <v>32</v>
      </c>
      <c r="C122" s="2" t="s">
        <v>299</v>
      </c>
      <c r="D122" s="2" t="s">
        <v>317</v>
      </c>
    </row>
    <row r="123" spans="2:4" ht="30" x14ac:dyDescent="0.25">
      <c r="B123" s="2" t="s">
        <v>32</v>
      </c>
      <c r="C123" s="2" t="s">
        <v>318</v>
      </c>
      <c r="D123" s="2" t="s">
        <v>319</v>
      </c>
    </row>
    <row r="124" spans="2:4" ht="45" x14ac:dyDescent="0.25">
      <c r="B124" s="2" t="s">
        <v>32</v>
      </c>
      <c r="C124" s="2" t="s">
        <v>280</v>
      </c>
      <c r="D124" s="2" t="s">
        <v>320</v>
      </c>
    </row>
    <row r="125" spans="2:4" ht="30" x14ac:dyDescent="0.25">
      <c r="B125" s="2" t="s">
        <v>32</v>
      </c>
      <c r="C125" s="2" t="s">
        <v>321</v>
      </c>
      <c r="D125" s="2" t="s">
        <v>322</v>
      </c>
    </row>
    <row r="126" spans="2:4" ht="45" x14ac:dyDescent="0.25">
      <c r="B126" s="2" t="s">
        <v>32</v>
      </c>
      <c r="C126" s="2" t="s">
        <v>323</v>
      </c>
      <c r="D126" s="2" t="s">
        <v>324</v>
      </c>
    </row>
    <row r="127" spans="2:4" ht="30" x14ac:dyDescent="0.25">
      <c r="B127" s="2" t="s">
        <v>32</v>
      </c>
      <c r="C127" s="2" t="s">
        <v>325</v>
      </c>
      <c r="D127" s="2" t="s">
        <v>326</v>
      </c>
    </row>
    <row r="128" spans="2:4" ht="45" x14ac:dyDescent="0.25">
      <c r="B128" s="2" t="s">
        <v>32</v>
      </c>
      <c r="C128" s="2" t="s">
        <v>327</v>
      </c>
      <c r="D128" s="2" t="s">
        <v>328</v>
      </c>
    </row>
    <row r="129" spans="2:4" ht="45" x14ac:dyDescent="0.25">
      <c r="B129" s="2" t="s">
        <v>32</v>
      </c>
      <c r="C129" s="2" t="s">
        <v>329</v>
      </c>
      <c r="D129" s="2" t="s">
        <v>330</v>
      </c>
    </row>
    <row r="130" spans="2:4" ht="30" x14ac:dyDescent="0.25">
      <c r="B130" s="2" t="s">
        <v>34</v>
      </c>
      <c r="C130" s="2" t="s">
        <v>183</v>
      </c>
      <c r="D130" s="2" t="s">
        <v>331</v>
      </c>
    </row>
    <row r="131" spans="2:4" ht="45" x14ac:dyDescent="0.25">
      <c r="B131" s="2" t="s">
        <v>34</v>
      </c>
      <c r="C131" s="2" t="s">
        <v>332</v>
      </c>
      <c r="D131" s="2" t="s">
        <v>333</v>
      </c>
    </row>
    <row r="132" spans="2:4" ht="45" x14ac:dyDescent="0.25">
      <c r="B132" s="2" t="s">
        <v>34</v>
      </c>
      <c r="C132" s="2" t="s">
        <v>334</v>
      </c>
      <c r="D132" s="2" t="s">
        <v>335</v>
      </c>
    </row>
    <row r="133" spans="2:4" ht="45" x14ac:dyDescent="0.25">
      <c r="B133" s="2" t="s">
        <v>34</v>
      </c>
      <c r="C133" s="2" t="s">
        <v>336</v>
      </c>
      <c r="D133" s="2" t="s">
        <v>337</v>
      </c>
    </row>
    <row r="134" spans="2:4" ht="45" x14ac:dyDescent="0.25">
      <c r="B134" s="2" t="s">
        <v>34</v>
      </c>
      <c r="C134" s="9" t="s">
        <v>338</v>
      </c>
      <c r="D134" s="9" t="s">
        <v>339</v>
      </c>
    </row>
    <row r="135" spans="2:4" ht="60" x14ac:dyDescent="0.25">
      <c r="B135" s="2" t="s">
        <v>34</v>
      </c>
      <c r="C135" s="9" t="s">
        <v>340</v>
      </c>
      <c r="D135" s="9" t="s">
        <v>341</v>
      </c>
    </row>
    <row r="136" spans="2:4" ht="30" x14ac:dyDescent="0.25">
      <c r="B136" s="2" t="s">
        <v>36</v>
      </c>
      <c r="C136" s="9" t="s">
        <v>307</v>
      </c>
      <c r="D136" s="9" t="s">
        <v>342</v>
      </c>
    </row>
    <row r="137" spans="2:4" ht="60" x14ac:dyDescent="0.25">
      <c r="B137" s="2" t="s">
        <v>36</v>
      </c>
      <c r="C137" s="9" t="s">
        <v>343</v>
      </c>
      <c r="D137" s="9" t="s">
        <v>344</v>
      </c>
    </row>
    <row r="138" spans="2:4" x14ac:dyDescent="0.25">
      <c r="B138" s="2" t="s">
        <v>36</v>
      </c>
      <c r="C138" s="9" t="s">
        <v>345</v>
      </c>
      <c r="D138" s="9" t="s">
        <v>346</v>
      </c>
    </row>
    <row r="139" spans="2:4" x14ac:dyDescent="0.25">
      <c r="B139" s="2" t="s">
        <v>36</v>
      </c>
      <c r="C139" s="9" t="s">
        <v>347</v>
      </c>
      <c r="D139" s="9" t="s">
        <v>348</v>
      </c>
    </row>
    <row r="140" spans="2:4" ht="75" x14ac:dyDescent="0.25">
      <c r="B140" s="2" t="s">
        <v>38</v>
      </c>
      <c r="C140" s="9" t="s">
        <v>349</v>
      </c>
      <c r="D140" s="9" t="s">
        <v>350</v>
      </c>
    </row>
    <row r="141" spans="2:4" ht="60" x14ac:dyDescent="0.25">
      <c r="B141" s="2" t="s">
        <v>38</v>
      </c>
      <c r="C141" s="9" t="s">
        <v>203</v>
      </c>
      <c r="D141" s="9" t="s">
        <v>351</v>
      </c>
    </row>
    <row r="142" spans="2:4" x14ac:dyDescent="0.25">
      <c r="B142" s="2" t="s">
        <v>38</v>
      </c>
      <c r="C142" s="9" t="s">
        <v>203</v>
      </c>
      <c r="D142" s="9" t="s">
        <v>203</v>
      </c>
    </row>
    <row r="143" spans="2:4" x14ac:dyDescent="0.25">
      <c r="B143" s="2" t="s">
        <v>430</v>
      </c>
      <c r="C143" s="9" t="s">
        <v>352</v>
      </c>
      <c r="D143" s="9" t="s">
        <v>353</v>
      </c>
    </row>
    <row r="144" spans="2:4" ht="75" x14ac:dyDescent="0.25">
      <c r="B144" s="2" t="s">
        <v>40</v>
      </c>
      <c r="C144" s="9" t="s">
        <v>354</v>
      </c>
      <c r="D144" s="9" t="s">
        <v>355</v>
      </c>
    </row>
    <row r="145" spans="2:4" ht="60" x14ac:dyDescent="0.25">
      <c r="B145" s="2" t="s">
        <v>40</v>
      </c>
      <c r="C145" s="9" t="s">
        <v>356</v>
      </c>
      <c r="D145" s="9" t="s">
        <v>357</v>
      </c>
    </row>
    <row r="146" spans="2:4" ht="75" x14ac:dyDescent="0.25">
      <c r="B146" s="2" t="s">
        <v>40</v>
      </c>
      <c r="C146" s="9" t="s">
        <v>358</v>
      </c>
      <c r="D146" s="9" t="s">
        <v>359</v>
      </c>
    </row>
    <row r="147" spans="2:4" x14ac:dyDescent="0.25">
      <c r="B147" s="2" t="s">
        <v>42</v>
      </c>
      <c r="C147" s="9" t="s">
        <v>360</v>
      </c>
      <c r="D147" s="9" t="s">
        <v>361</v>
      </c>
    </row>
    <row r="148" spans="2:4" ht="75" x14ac:dyDescent="0.25">
      <c r="B148" s="2" t="s">
        <v>44</v>
      </c>
      <c r="C148" s="9" t="s">
        <v>362</v>
      </c>
      <c r="D148" s="9" t="s">
        <v>363</v>
      </c>
    </row>
    <row r="149" spans="2:4" ht="60" x14ac:dyDescent="0.25">
      <c r="B149" s="2" t="s">
        <v>44</v>
      </c>
      <c r="C149" s="9" t="s">
        <v>364</v>
      </c>
      <c r="D149" s="9" t="s">
        <v>365</v>
      </c>
    </row>
    <row r="150" spans="2:4" ht="60" x14ac:dyDescent="0.25">
      <c r="B150" s="2" t="s">
        <v>44</v>
      </c>
      <c r="C150" s="9" t="s">
        <v>366</v>
      </c>
      <c r="D150" s="9" t="s">
        <v>367</v>
      </c>
    </row>
    <row r="151" spans="2:4" ht="30" x14ac:dyDescent="0.25">
      <c r="B151" s="2" t="s">
        <v>46</v>
      </c>
      <c r="C151" s="9" t="s">
        <v>368</v>
      </c>
      <c r="D151" s="9" t="s">
        <v>369</v>
      </c>
    </row>
    <row r="152" spans="2:4" ht="45" x14ac:dyDescent="0.25">
      <c r="B152" s="2" t="s">
        <v>46</v>
      </c>
      <c r="C152" s="9" t="s">
        <v>370</v>
      </c>
      <c r="D152" s="9" t="s">
        <v>371</v>
      </c>
    </row>
    <row r="153" spans="2:4" x14ac:dyDescent="0.25">
      <c r="B153" s="2" t="s">
        <v>46</v>
      </c>
      <c r="C153" s="9" t="s">
        <v>372</v>
      </c>
      <c r="D153" s="9" t="s">
        <v>373</v>
      </c>
    </row>
    <row r="154" spans="2:4" ht="45" x14ac:dyDescent="0.25">
      <c r="B154" s="2" t="s">
        <v>46</v>
      </c>
      <c r="C154" s="9" t="s">
        <v>323</v>
      </c>
      <c r="D154" s="9" t="s">
        <v>374</v>
      </c>
    </row>
    <row r="155" spans="2:4" ht="45" x14ac:dyDescent="0.25">
      <c r="B155" s="2" t="s">
        <v>48</v>
      </c>
      <c r="C155" s="9" t="s">
        <v>375</v>
      </c>
      <c r="D155" s="9" t="s">
        <v>376</v>
      </c>
    </row>
    <row r="156" spans="2:4" x14ac:dyDescent="0.25">
      <c r="B156" s="2" t="s">
        <v>48</v>
      </c>
      <c r="C156" s="9" t="s">
        <v>377</v>
      </c>
      <c r="D156" s="9" t="s">
        <v>378</v>
      </c>
    </row>
    <row r="157" spans="2:4" x14ac:dyDescent="0.25">
      <c r="B157" s="2" t="s">
        <v>48</v>
      </c>
      <c r="C157" s="9" t="s">
        <v>379</v>
      </c>
      <c r="D157" s="9" t="s">
        <v>380</v>
      </c>
    </row>
    <row r="158" spans="2:4" x14ac:dyDescent="0.25">
      <c r="B158" s="2" t="s">
        <v>48</v>
      </c>
      <c r="C158" s="9" t="s">
        <v>381</v>
      </c>
      <c r="D158" s="9" t="s">
        <v>382</v>
      </c>
    </row>
    <row r="159" spans="2:4" ht="60" x14ac:dyDescent="0.25">
      <c r="B159" s="2" t="s">
        <v>48</v>
      </c>
      <c r="C159" s="9" t="s">
        <v>383</v>
      </c>
      <c r="D159" s="9" t="s">
        <v>384</v>
      </c>
    </row>
    <row r="160" spans="2:4" ht="75" x14ac:dyDescent="0.25">
      <c r="B160" s="2" t="s">
        <v>48</v>
      </c>
      <c r="C160" s="9" t="s">
        <v>385</v>
      </c>
      <c r="D160" s="9" t="s">
        <v>386</v>
      </c>
    </row>
    <row r="161" spans="2:4" ht="30" x14ac:dyDescent="0.25">
      <c r="B161" s="2" t="s">
        <v>50</v>
      </c>
      <c r="C161" s="9" t="s">
        <v>387</v>
      </c>
      <c r="D161" s="9" t="s">
        <v>388</v>
      </c>
    </row>
    <row r="162" spans="2:4" ht="225" x14ac:dyDescent="0.25">
      <c r="B162" s="2" t="s">
        <v>50</v>
      </c>
      <c r="C162" s="9" t="s">
        <v>389</v>
      </c>
      <c r="D162" s="9" t="s">
        <v>390</v>
      </c>
    </row>
    <row r="163" spans="2:4" ht="135" x14ac:dyDescent="0.25">
      <c r="B163" s="2" t="s">
        <v>50</v>
      </c>
      <c r="C163" s="9" t="s">
        <v>391</v>
      </c>
      <c r="D163" s="9" t="s">
        <v>392</v>
      </c>
    </row>
    <row r="164" spans="2:4" ht="75" x14ac:dyDescent="0.25">
      <c r="B164" s="2" t="s">
        <v>50</v>
      </c>
      <c r="C164" s="9" t="s">
        <v>393</v>
      </c>
      <c r="D164" s="9" t="s">
        <v>394</v>
      </c>
    </row>
    <row r="165" spans="2:4" ht="30" x14ac:dyDescent="0.25">
      <c r="B165" s="2" t="s">
        <v>52</v>
      </c>
      <c r="C165" s="9" t="s">
        <v>360</v>
      </c>
      <c r="D165" s="9" t="s">
        <v>395</v>
      </c>
    </row>
    <row r="166" spans="2:4" ht="30" x14ac:dyDescent="0.25">
      <c r="B166" s="2" t="s">
        <v>52</v>
      </c>
      <c r="C166" s="9" t="s">
        <v>396</v>
      </c>
      <c r="D166" s="9" t="s">
        <v>397</v>
      </c>
    </row>
    <row r="167" spans="2:4" x14ac:dyDescent="0.25">
      <c r="B167" s="2" t="s">
        <v>52</v>
      </c>
      <c r="C167" s="9" t="s">
        <v>398</v>
      </c>
      <c r="D167" s="9" t="s">
        <v>399</v>
      </c>
    </row>
    <row r="168" spans="2:4" ht="45" x14ac:dyDescent="0.25">
      <c r="B168" s="2" t="s">
        <v>52</v>
      </c>
      <c r="C168" s="9" t="s">
        <v>400</v>
      </c>
      <c r="D168" s="9" t="s">
        <v>401</v>
      </c>
    </row>
    <row r="169" spans="2:4" ht="30" x14ac:dyDescent="0.25">
      <c r="B169" s="2" t="s">
        <v>54</v>
      </c>
      <c r="C169" s="9" t="s">
        <v>364</v>
      </c>
      <c r="D169" s="9" t="s">
        <v>402</v>
      </c>
    </row>
    <row r="170" spans="2:4" x14ac:dyDescent="0.25">
      <c r="B170" s="2" t="s">
        <v>57</v>
      </c>
      <c r="C170" s="9" t="s">
        <v>403</v>
      </c>
      <c r="D170" s="9" t="s">
        <v>404</v>
      </c>
    </row>
    <row r="171" spans="2:4" x14ac:dyDescent="0.25">
      <c r="B171" s="2" t="s">
        <v>57</v>
      </c>
      <c r="C171" s="9" t="s">
        <v>250</v>
      </c>
      <c r="D171" s="9" t="s">
        <v>405</v>
      </c>
    </row>
    <row r="172" spans="2:4" x14ac:dyDescent="0.25">
      <c r="B172" s="2" t="s">
        <v>57</v>
      </c>
      <c r="C172" s="9" t="s">
        <v>406</v>
      </c>
      <c r="D172" s="9" t="s">
        <v>407</v>
      </c>
    </row>
    <row r="173" spans="2:4" x14ac:dyDescent="0.25">
      <c r="B173" s="2" t="s">
        <v>58</v>
      </c>
      <c r="C173" s="9" t="s">
        <v>408</v>
      </c>
      <c r="D173" s="9" t="s">
        <v>409</v>
      </c>
    </row>
    <row r="174" spans="2:4" ht="45" x14ac:dyDescent="0.25">
      <c r="B174" s="2" t="s">
        <v>58</v>
      </c>
      <c r="C174" s="9" t="s">
        <v>410</v>
      </c>
      <c r="D174" s="9" t="s">
        <v>411</v>
      </c>
    </row>
    <row r="175" spans="2:4" x14ac:dyDescent="0.25">
      <c r="B175" s="2" t="s">
        <v>58</v>
      </c>
      <c r="C175" s="9" t="s">
        <v>280</v>
      </c>
      <c r="D175" s="9" t="s">
        <v>412</v>
      </c>
    </row>
    <row r="176" spans="2:4" x14ac:dyDescent="0.25">
      <c r="B176" s="2" t="s">
        <v>58</v>
      </c>
      <c r="C176" s="9" t="s">
        <v>385</v>
      </c>
      <c r="D176" s="9" t="s">
        <v>413</v>
      </c>
    </row>
    <row r="177" spans="2:4" x14ac:dyDescent="0.25">
      <c r="B177" s="2" t="s">
        <v>58</v>
      </c>
      <c r="C177" s="9" t="s">
        <v>410</v>
      </c>
      <c r="D177" s="9" t="s">
        <v>414</v>
      </c>
    </row>
    <row r="178" spans="2:4" x14ac:dyDescent="0.25">
      <c r="B178" s="2" t="s">
        <v>60</v>
      </c>
      <c r="C178" s="9" t="s">
        <v>415</v>
      </c>
      <c r="D178" s="9" t="s">
        <v>416</v>
      </c>
    </row>
    <row r="179" spans="2:4" x14ac:dyDescent="0.25">
      <c r="B179" s="2" t="s">
        <v>60</v>
      </c>
      <c r="C179" s="9" t="s">
        <v>415</v>
      </c>
      <c r="D179" s="9" t="s">
        <v>416</v>
      </c>
    </row>
    <row r="180" spans="2:4" ht="45" x14ac:dyDescent="0.25">
      <c r="B180" s="2" t="s">
        <v>60</v>
      </c>
      <c r="C180" s="9" t="s">
        <v>417</v>
      </c>
      <c r="D180" s="9" t="s">
        <v>418</v>
      </c>
    </row>
    <row r="181" spans="2:4" ht="75" x14ac:dyDescent="0.25">
      <c r="B181" s="2" t="s">
        <v>60</v>
      </c>
      <c r="C181" s="9" t="s">
        <v>419</v>
      </c>
      <c r="D181" s="9" t="s">
        <v>420</v>
      </c>
    </row>
    <row r="182" spans="2:4" ht="60" x14ac:dyDescent="0.25">
      <c r="B182" s="2" t="s">
        <v>60</v>
      </c>
      <c r="C182" s="9" t="s">
        <v>421</v>
      </c>
      <c r="D182" s="9" t="s">
        <v>422</v>
      </c>
    </row>
    <row r="183" spans="2:4" ht="75" x14ac:dyDescent="0.25">
      <c r="B183" s="2" t="s">
        <v>60</v>
      </c>
      <c r="C183" s="9" t="s">
        <v>423</v>
      </c>
      <c r="D183" s="9" t="s">
        <v>424</v>
      </c>
    </row>
    <row r="184" spans="2:4" ht="60" x14ac:dyDescent="0.25">
      <c r="B184" s="2" t="s">
        <v>60</v>
      </c>
      <c r="C184" s="9" t="s">
        <v>425</v>
      </c>
      <c r="D184" s="9" t="s">
        <v>426</v>
      </c>
    </row>
    <row r="185" spans="2:4" ht="60" x14ac:dyDescent="0.25">
      <c r="B185" s="2" t="s">
        <v>60</v>
      </c>
      <c r="C185" s="9" t="s">
        <v>427</v>
      </c>
      <c r="D185" s="9" t="s">
        <v>428</v>
      </c>
    </row>
  </sheetData>
  <autoFilter ref="A1:G3"/>
  <pageMargins left="0.75" right="0.75" top="1" bottom="1" header="0.5" footer="0.5"/>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43"/>
  <sheetViews>
    <sheetView workbookViewId="0">
      <pane ySplit="1" topLeftCell="A116" activePane="bottomLeft" state="frozen"/>
      <selection pane="bottomLeft" activeCell="E5" sqref="E5"/>
    </sheetView>
  </sheetViews>
  <sheetFormatPr defaultRowHeight="15" x14ac:dyDescent="0.25"/>
  <cols>
    <col min="1" max="2" width="14" customWidth="1"/>
    <col min="3" max="3" width="28" customWidth="1"/>
    <col min="4" max="4" width="55" customWidth="1"/>
    <col min="5" max="5" width="38" customWidth="1"/>
    <col min="6" max="6" width="14" customWidth="1"/>
    <col min="7" max="7" width="25" customWidth="1"/>
  </cols>
  <sheetData>
    <row r="1" spans="1:7" ht="30" customHeight="1" x14ac:dyDescent="0.25">
      <c r="A1" s="1" t="s">
        <v>62</v>
      </c>
      <c r="B1" s="1" t="s">
        <v>0</v>
      </c>
      <c r="C1" s="1" t="s">
        <v>63</v>
      </c>
      <c r="D1" s="1" t="s">
        <v>64</v>
      </c>
      <c r="E1" s="1" t="s">
        <v>65</v>
      </c>
      <c r="F1" s="1" t="s">
        <v>66</v>
      </c>
      <c r="G1" s="1" t="s">
        <v>67</v>
      </c>
    </row>
    <row r="2" spans="1:7" ht="30" x14ac:dyDescent="0.25">
      <c r="A2" s="2" t="s">
        <v>68</v>
      </c>
      <c r="B2" s="10" t="s">
        <v>3</v>
      </c>
      <c r="C2" s="10" t="s">
        <v>431</v>
      </c>
      <c r="D2" s="10" t="s">
        <v>432</v>
      </c>
      <c r="E2" s="2" t="s">
        <v>69</v>
      </c>
      <c r="F2" s="2">
        <v>0</v>
      </c>
      <c r="G2" s="2" t="s">
        <v>70</v>
      </c>
    </row>
    <row r="3" spans="1:7" ht="60" x14ac:dyDescent="0.25">
      <c r="A3" s="2" t="s">
        <v>71</v>
      </c>
      <c r="B3" s="10" t="s">
        <v>3</v>
      </c>
      <c r="C3" s="10" t="s">
        <v>433</v>
      </c>
      <c r="D3" s="10" t="s">
        <v>434</v>
      </c>
      <c r="E3" s="2" t="s">
        <v>72</v>
      </c>
      <c r="F3" s="2">
        <v>0</v>
      </c>
      <c r="G3" s="2" t="s">
        <v>70</v>
      </c>
    </row>
    <row r="4" spans="1:7" ht="75" x14ac:dyDescent="0.25">
      <c r="A4" s="2" t="s">
        <v>633</v>
      </c>
      <c r="B4" s="10" t="s">
        <v>3</v>
      </c>
      <c r="C4" s="10" t="s">
        <v>435</v>
      </c>
      <c r="D4" s="10" t="s">
        <v>436</v>
      </c>
    </row>
    <row r="5" spans="1:7" ht="45" x14ac:dyDescent="0.25">
      <c r="A5" s="2" t="s">
        <v>634</v>
      </c>
      <c r="B5" s="10" t="s">
        <v>3</v>
      </c>
      <c r="C5" s="10" t="s">
        <v>437</v>
      </c>
      <c r="D5" s="10" t="s">
        <v>438</v>
      </c>
    </row>
    <row r="6" spans="1:7" ht="45" x14ac:dyDescent="0.25">
      <c r="A6" s="2" t="s">
        <v>635</v>
      </c>
      <c r="B6" s="10" t="s">
        <v>3</v>
      </c>
      <c r="C6" s="10" t="s">
        <v>439</v>
      </c>
      <c r="D6" s="10" t="s">
        <v>440</v>
      </c>
    </row>
    <row r="7" spans="1:7" ht="45" x14ac:dyDescent="0.25">
      <c r="A7" s="2" t="s">
        <v>636</v>
      </c>
      <c r="B7" s="10" t="s">
        <v>3</v>
      </c>
      <c r="C7" s="10" t="s">
        <v>441</v>
      </c>
      <c r="D7" s="10" t="s">
        <v>442</v>
      </c>
    </row>
    <row r="8" spans="1:7" ht="45" x14ac:dyDescent="0.25">
      <c r="A8" s="2" t="s">
        <v>637</v>
      </c>
      <c r="B8" s="10" t="s">
        <v>3</v>
      </c>
      <c r="C8" s="10" t="s">
        <v>443</v>
      </c>
      <c r="D8" s="10" t="s">
        <v>444</v>
      </c>
    </row>
    <row r="9" spans="1:7" x14ac:dyDescent="0.25">
      <c r="A9" s="2" t="s">
        <v>638</v>
      </c>
      <c r="B9" s="10" t="s">
        <v>3</v>
      </c>
      <c r="C9" s="10" t="s">
        <v>445</v>
      </c>
      <c r="D9" s="10" t="s">
        <v>446</v>
      </c>
    </row>
    <row r="10" spans="1:7" ht="120" x14ac:dyDescent="0.25">
      <c r="A10" s="2" t="s">
        <v>639</v>
      </c>
      <c r="B10" s="10" t="s">
        <v>3</v>
      </c>
      <c r="C10" s="10" t="s">
        <v>447</v>
      </c>
      <c r="D10" s="10" t="s">
        <v>448</v>
      </c>
    </row>
    <row r="11" spans="1:7" ht="90" x14ac:dyDescent="0.25">
      <c r="A11" s="2" t="s">
        <v>640</v>
      </c>
      <c r="B11" s="10" t="s">
        <v>3</v>
      </c>
      <c r="C11" s="10" t="s">
        <v>449</v>
      </c>
      <c r="D11" s="10" t="s">
        <v>450</v>
      </c>
    </row>
    <row r="12" spans="1:7" ht="90" x14ac:dyDescent="0.25">
      <c r="A12" s="2" t="s">
        <v>641</v>
      </c>
      <c r="B12" s="10" t="s">
        <v>3</v>
      </c>
      <c r="C12" s="10" t="s">
        <v>451</v>
      </c>
      <c r="D12" s="10" t="s">
        <v>452</v>
      </c>
    </row>
    <row r="13" spans="1:7" ht="75" x14ac:dyDescent="0.25">
      <c r="A13" s="2" t="s">
        <v>642</v>
      </c>
      <c r="B13" s="10" t="s">
        <v>3</v>
      </c>
      <c r="C13" s="10" t="s">
        <v>453</v>
      </c>
      <c r="D13" s="10" t="s">
        <v>454</v>
      </c>
    </row>
    <row r="14" spans="1:7" ht="45" x14ac:dyDescent="0.25">
      <c r="A14" s="2" t="s">
        <v>643</v>
      </c>
      <c r="B14" s="10" t="s">
        <v>3</v>
      </c>
      <c r="C14" s="10" t="s">
        <v>455</v>
      </c>
      <c r="D14" s="10" t="s">
        <v>456</v>
      </c>
    </row>
    <row r="15" spans="1:7" ht="60" x14ac:dyDescent="0.25">
      <c r="A15" s="2" t="s">
        <v>644</v>
      </c>
      <c r="B15" s="10" t="s">
        <v>3</v>
      </c>
      <c r="C15" s="10" t="s">
        <v>457</v>
      </c>
      <c r="D15" s="10" t="s">
        <v>458</v>
      </c>
    </row>
    <row r="16" spans="1:7" ht="30" x14ac:dyDescent="0.25">
      <c r="A16" s="2" t="s">
        <v>645</v>
      </c>
      <c r="B16" s="10" t="s">
        <v>3</v>
      </c>
      <c r="C16" s="10" t="s">
        <v>459</v>
      </c>
      <c r="D16" s="10" t="s">
        <v>460</v>
      </c>
    </row>
    <row r="17" spans="1:4" ht="45" x14ac:dyDescent="0.25">
      <c r="A17" s="2" t="s">
        <v>646</v>
      </c>
      <c r="B17" s="10" t="s">
        <v>3</v>
      </c>
      <c r="C17" s="10" t="s">
        <v>461</v>
      </c>
      <c r="D17" s="10" t="s">
        <v>462</v>
      </c>
    </row>
    <row r="18" spans="1:4" ht="45" x14ac:dyDescent="0.25">
      <c r="A18" s="2" t="s">
        <v>647</v>
      </c>
      <c r="B18" s="10" t="s">
        <v>3</v>
      </c>
      <c r="C18" s="10" t="s">
        <v>463</v>
      </c>
      <c r="D18" s="10" t="s">
        <v>464</v>
      </c>
    </row>
    <row r="19" spans="1:4" ht="45" x14ac:dyDescent="0.25">
      <c r="A19" s="2" t="s">
        <v>648</v>
      </c>
      <c r="B19" s="10" t="s">
        <v>3</v>
      </c>
      <c r="C19" s="10" t="s">
        <v>455</v>
      </c>
      <c r="D19" s="10" t="s">
        <v>456</v>
      </c>
    </row>
    <row r="20" spans="1:4" ht="45" x14ac:dyDescent="0.25">
      <c r="A20" s="2" t="s">
        <v>649</v>
      </c>
      <c r="B20" s="10" t="s">
        <v>3</v>
      </c>
      <c r="C20" s="10" t="s">
        <v>465</v>
      </c>
      <c r="D20" s="10" t="s">
        <v>466</v>
      </c>
    </row>
    <row r="21" spans="1:4" ht="60" x14ac:dyDescent="0.25">
      <c r="A21" s="2" t="s">
        <v>650</v>
      </c>
      <c r="B21" s="10" t="s">
        <v>3</v>
      </c>
      <c r="C21" s="10" t="s">
        <v>467</v>
      </c>
      <c r="D21" s="10" t="s">
        <v>468</v>
      </c>
    </row>
    <row r="22" spans="1:4" ht="60" x14ac:dyDescent="0.25">
      <c r="A22" s="2" t="s">
        <v>651</v>
      </c>
      <c r="B22" s="10" t="s">
        <v>3</v>
      </c>
      <c r="C22" s="10" t="s">
        <v>469</v>
      </c>
      <c r="D22" s="10" t="s">
        <v>470</v>
      </c>
    </row>
    <row r="23" spans="1:4" ht="30" x14ac:dyDescent="0.25">
      <c r="A23" s="2" t="s">
        <v>652</v>
      </c>
      <c r="B23" s="10" t="s">
        <v>5</v>
      </c>
      <c r="C23" s="10" t="s">
        <v>471</v>
      </c>
      <c r="D23" s="10" t="s">
        <v>472</v>
      </c>
    </row>
    <row r="24" spans="1:4" ht="60" x14ac:dyDescent="0.25">
      <c r="A24" s="2" t="s">
        <v>653</v>
      </c>
      <c r="B24" s="10" t="s">
        <v>5</v>
      </c>
      <c r="C24" s="10" t="s">
        <v>473</v>
      </c>
      <c r="D24" s="10" t="s">
        <v>474</v>
      </c>
    </row>
    <row r="25" spans="1:4" ht="45" x14ac:dyDescent="0.25">
      <c r="A25" s="2" t="s">
        <v>654</v>
      </c>
      <c r="B25" s="10" t="s">
        <v>7</v>
      </c>
      <c r="C25" s="10" t="s">
        <v>475</v>
      </c>
      <c r="D25" s="10" t="s">
        <v>476</v>
      </c>
    </row>
    <row r="26" spans="1:4" ht="60" x14ac:dyDescent="0.25">
      <c r="A26" s="2" t="s">
        <v>655</v>
      </c>
      <c r="B26" s="10" t="s">
        <v>7</v>
      </c>
      <c r="C26" s="10" t="s">
        <v>477</v>
      </c>
      <c r="D26" s="10" t="s">
        <v>478</v>
      </c>
    </row>
    <row r="27" spans="1:4" ht="75" x14ac:dyDescent="0.25">
      <c r="A27" s="2" t="s">
        <v>656</v>
      </c>
      <c r="B27" s="10" t="s">
        <v>7</v>
      </c>
      <c r="C27" s="10" t="s">
        <v>479</v>
      </c>
      <c r="D27" s="10" t="s">
        <v>480</v>
      </c>
    </row>
    <row r="28" spans="1:4" ht="90" x14ac:dyDescent="0.25">
      <c r="A28" s="2" t="s">
        <v>657</v>
      </c>
      <c r="B28" s="10" t="s">
        <v>7</v>
      </c>
      <c r="C28" s="10" t="s">
        <v>481</v>
      </c>
      <c r="D28" s="10" t="s">
        <v>482</v>
      </c>
    </row>
    <row r="29" spans="1:4" ht="30" x14ac:dyDescent="0.25">
      <c r="A29" s="2" t="s">
        <v>658</v>
      </c>
      <c r="B29" s="10" t="s">
        <v>7</v>
      </c>
      <c r="C29" s="10" t="s">
        <v>483</v>
      </c>
      <c r="D29" s="10" t="s">
        <v>484</v>
      </c>
    </row>
    <row r="30" spans="1:4" x14ac:dyDescent="0.25">
      <c r="A30" s="2" t="s">
        <v>659</v>
      </c>
      <c r="B30" s="10" t="s">
        <v>7</v>
      </c>
      <c r="C30" s="10" t="s">
        <v>485</v>
      </c>
      <c r="D30" s="10" t="s">
        <v>486</v>
      </c>
    </row>
    <row r="31" spans="1:4" x14ac:dyDescent="0.25">
      <c r="A31" s="2" t="s">
        <v>660</v>
      </c>
      <c r="B31" s="10" t="s">
        <v>7</v>
      </c>
      <c r="C31" s="10" t="s">
        <v>485</v>
      </c>
      <c r="D31" s="10" t="s">
        <v>486</v>
      </c>
    </row>
    <row r="32" spans="1:4" x14ac:dyDescent="0.25">
      <c r="A32" s="2" t="s">
        <v>661</v>
      </c>
      <c r="B32" s="10" t="s">
        <v>7</v>
      </c>
      <c r="C32" s="10" t="s">
        <v>485</v>
      </c>
      <c r="D32" s="10" t="s">
        <v>486</v>
      </c>
    </row>
    <row r="33" spans="1:4" x14ac:dyDescent="0.25">
      <c r="A33" s="2" t="s">
        <v>662</v>
      </c>
      <c r="B33" s="10" t="s">
        <v>7</v>
      </c>
      <c r="C33" s="10" t="s">
        <v>485</v>
      </c>
      <c r="D33" s="10" t="s">
        <v>486</v>
      </c>
    </row>
    <row r="34" spans="1:4" x14ac:dyDescent="0.25">
      <c r="A34" s="2" t="s">
        <v>663</v>
      </c>
      <c r="B34" s="10" t="s">
        <v>7</v>
      </c>
      <c r="C34" s="10" t="s">
        <v>485</v>
      </c>
      <c r="D34" s="10" t="s">
        <v>486</v>
      </c>
    </row>
    <row r="35" spans="1:4" ht="60" x14ac:dyDescent="0.25">
      <c r="A35" s="2" t="s">
        <v>664</v>
      </c>
      <c r="B35" s="10" t="s">
        <v>9</v>
      </c>
      <c r="C35" s="10" t="s">
        <v>485</v>
      </c>
      <c r="D35" s="10" t="s">
        <v>487</v>
      </c>
    </row>
    <row r="36" spans="1:4" ht="75" x14ac:dyDescent="0.25">
      <c r="A36" s="2" t="s">
        <v>665</v>
      </c>
      <c r="B36" s="10" t="s">
        <v>9</v>
      </c>
      <c r="C36" s="10" t="s">
        <v>488</v>
      </c>
      <c r="D36" s="10" t="s">
        <v>489</v>
      </c>
    </row>
    <row r="37" spans="1:4" ht="45" x14ac:dyDescent="0.25">
      <c r="A37" s="2" t="s">
        <v>666</v>
      </c>
      <c r="B37" s="10" t="s">
        <v>9</v>
      </c>
      <c r="C37" s="10" t="s">
        <v>490</v>
      </c>
      <c r="D37" s="10" t="s">
        <v>491</v>
      </c>
    </row>
    <row r="38" spans="1:4" ht="45" x14ac:dyDescent="0.25">
      <c r="A38" s="2" t="s">
        <v>667</v>
      </c>
      <c r="B38" s="10" t="s">
        <v>11</v>
      </c>
      <c r="C38" s="10" t="s">
        <v>477</v>
      </c>
      <c r="D38" s="10" t="s">
        <v>492</v>
      </c>
    </row>
    <row r="39" spans="1:4" ht="45" x14ac:dyDescent="0.25">
      <c r="A39" s="2" t="s">
        <v>668</v>
      </c>
      <c r="B39" s="10" t="s">
        <v>11</v>
      </c>
      <c r="C39" s="10" t="s">
        <v>493</v>
      </c>
      <c r="D39" s="10" t="s">
        <v>494</v>
      </c>
    </row>
    <row r="40" spans="1:4" ht="120" x14ac:dyDescent="0.25">
      <c r="A40" s="2" t="s">
        <v>669</v>
      </c>
      <c r="B40" s="10" t="s">
        <v>12</v>
      </c>
      <c r="C40" s="10" t="s">
        <v>495</v>
      </c>
      <c r="D40" s="10" t="s">
        <v>496</v>
      </c>
    </row>
    <row r="41" spans="1:4" ht="45" x14ac:dyDescent="0.25">
      <c r="A41" s="2" t="s">
        <v>670</v>
      </c>
      <c r="B41" s="10" t="s">
        <v>12</v>
      </c>
      <c r="C41" s="10" t="s">
        <v>497</v>
      </c>
      <c r="D41" s="10" t="s">
        <v>498</v>
      </c>
    </row>
    <row r="42" spans="1:4" ht="60" x14ac:dyDescent="0.25">
      <c r="A42" s="2" t="s">
        <v>671</v>
      </c>
      <c r="B42" s="10"/>
      <c r="C42" s="10" t="s">
        <v>499</v>
      </c>
      <c r="D42" s="10" t="s">
        <v>500</v>
      </c>
    </row>
    <row r="43" spans="1:4" ht="90" x14ac:dyDescent="0.25">
      <c r="A43" s="2" t="s">
        <v>672</v>
      </c>
      <c r="B43" s="10"/>
      <c r="C43" s="10" t="s">
        <v>497</v>
      </c>
      <c r="D43" s="10" t="s">
        <v>501</v>
      </c>
    </row>
    <row r="44" spans="1:4" ht="30" x14ac:dyDescent="0.25">
      <c r="A44" s="2" t="s">
        <v>673</v>
      </c>
      <c r="B44" s="10"/>
      <c r="C44" s="10" t="s">
        <v>502</v>
      </c>
      <c r="D44" s="10" t="s">
        <v>503</v>
      </c>
    </row>
    <row r="45" spans="1:4" x14ac:dyDescent="0.25">
      <c r="A45" s="2" t="s">
        <v>674</v>
      </c>
      <c r="B45" s="10"/>
      <c r="C45" s="10" t="s">
        <v>504</v>
      </c>
      <c r="D45" s="10" t="s">
        <v>505</v>
      </c>
    </row>
    <row r="46" spans="1:4" ht="165" x14ac:dyDescent="0.25">
      <c r="A46" s="2" t="s">
        <v>675</v>
      </c>
      <c r="B46" s="10"/>
      <c r="C46" s="10" t="s">
        <v>224</v>
      </c>
      <c r="D46" s="10" t="s">
        <v>506</v>
      </c>
    </row>
    <row r="47" spans="1:4" ht="105" x14ac:dyDescent="0.25">
      <c r="A47" s="2" t="s">
        <v>676</v>
      </c>
      <c r="B47" s="10" t="s">
        <v>14</v>
      </c>
      <c r="C47" s="10" t="s">
        <v>507</v>
      </c>
      <c r="D47" s="10" t="s">
        <v>508</v>
      </c>
    </row>
    <row r="48" spans="1:4" ht="45" x14ac:dyDescent="0.25">
      <c r="A48" s="2" t="s">
        <v>677</v>
      </c>
      <c r="B48" s="10" t="s">
        <v>14</v>
      </c>
      <c r="C48" s="10" t="s">
        <v>499</v>
      </c>
      <c r="D48" s="10" t="s">
        <v>509</v>
      </c>
    </row>
    <row r="49" spans="1:4" ht="60" x14ac:dyDescent="0.25">
      <c r="A49" s="2" t="s">
        <v>678</v>
      </c>
      <c r="B49" s="10" t="s">
        <v>14</v>
      </c>
      <c r="C49" s="10" t="s">
        <v>510</v>
      </c>
      <c r="D49" s="10" t="s">
        <v>511</v>
      </c>
    </row>
    <row r="50" spans="1:4" ht="90" x14ac:dyDescent="0.25">
      <c r="A50" s="2" t="s">
        <v>679</v>
      </c>
      <c r="B50" s="10" t="s">
        <v>16</v>
      </c>
      <c r="C50" s="10" t="s">
        <v>512</v>
      </c>
      <c r="D50" s="10" t="s">
        <v>513</v>
      </c>
    </row>
    <row r="51" spans="1:4" ht="45" x14ac:dyDescent="0.25">
      <c r="A51" s="2" t="s">
        <v>680</v>
      </c>
      <c r="B51" s="10" t="s">
        <v>20</v>
      </c>
      <c r="C51" s="10" t="s">
        <v>514</v>
      </c>
      <c r="D51" s="10" t="s">
        <v>515</v>
      </c>
    </row>
    <row r="52" spans="1:4" ht="60" x14ac:dyDescent="0.25">
      <c r="A52" s="2" t="s">
        <v>681</v>
      </c>
      <c r="B52" s="10" t="s">
        <v>24</v>
      </c>
      <c r="C52" s="10" t="s">
        <v>516</v>
      </c>
      <c r="D52" s="10" t="s">
        <v>517</v>
      </c>
    </row>
    <row r="53" spans="1:4" ht="45" x14ac:dyDescent="0.25">
      <c r="A53" s="2" t="s">
        <v>682</v>
      </c>
      <c r="B53" s="10" t="s">
        <v>24</v>
      </c>
      <c r="C53" s="10" t="s">
        <v>518</v>
      </c>
      <c r="D53" s="10" t="s">
        <v>519</v>
      </c>
    </row>
    <row r="54" spans="1:4" ht="150" x14ac:dyDescent="0.25">
      <c r="A54" s="2" t="s">
        <v>683</v>
      </c>
      <c r="B54" s="10" t="s">
        <v>24</v>
      </c>
      <c r="C54" s="10" t="s">
        <v>520</v>
      </c>
      <c r="D54" s="10" t="s">
        <v>521</v>
      </c>
    </row>
    <row r="55" spans="1:4" ht="75" x14ac:dyDescent="0.25">
      <c r="A55" s="2" t="s">
        <v>684</v>
      </c>
      <c r="B55" s="10" t="s">
        <v>24</v>
      </c>
      <c r="C55" s="10" t="s">
        <v>502</v>
      </c>
      <c r="D55" s="10" t="s">
        <v>522</v>
      </c>
    </row>
    <row r="56" spans="1:4" ht="90" x14ac:dyDescent="0.25">
      <c r="A56" s="2" t="s">
        <v>685</v>
      </c>
      <c r="B56" s="10" t="s">
        <v>24</v>
      </c>
      <c r="C56" s="10" t="s">
        <v>523</v>
      </c>
      <c r="D56" s="10" t="s">
        <v>524</v>
      </c>
    </row>
    <row r="57" spans="1:4" ht="90" x14ac:dyDescent="0.25">
      <c r="A57" s="2" t="s">
        <v>686</v>
      </c>
      <c r="B57" s="10" t="s">
        <v>24</v>
      </c>
      <c r="C57" s="10" t="s">
        <v>525</v>
      </c>
      <c r="D57" s="10" t="s">
        <v>526</v>
      </c>
    </row>
    <row r="58" spans="1:4" ht="90" x14ac:dyDescent="0.25">
      <c r="A58" s="2" t="s">
        <v>687</v>
      </c>
      <c r="B58" s="10" t="s">
        <v>24</v>
      </c>
      <c r="C58" s="10" t="s">
        <v>527</v>
      </c>
      <c r="D58" s="10" t="s">
        <v>524</v>
      </c>
    </row>
    <row r="59" spans="1:4" ht="30" x14ac:dyDescent="0.25">
      <c r="A59" s="2" t="s">
        <v>688</v>
      </c>
      <c r="B59" s="10" t="s">
        <v>24</v>
      </c>
      <c r="C59" s="10" t="s">
        <v>528</v>
      </c>
      <c r="D59" s="10" t="s">
        <v>529</v>
      </c>
    </row>
    <row r="60" spans="1:4" ht="60" x14ac:dyDescent="0.25">
      <c r="A60" s="2" t="s">
        <v>689</v>
      </c>
      <c r="B60" s="10" t="s">
        <v>24</v>
      </c>
      <c r="C60" s="10" t="s">
        <v>530</v>
      </c>
      <c r="D60" s="10" t="s">
        <v>531</v>
      </c>
    </row>
    <row r="61" spans="1:4" ht="45" x14ac:dyDescent="0.25">
      <c r="A61" s="2" t="s">
        <v>690</v>
      </c>
      <c r="B61" s="10" t="s">
        <v>24</v>
      </c>
      <c r="C61" s="10" t="s">
        <v>532</v>
      </c>
      <c r="D61" s="10" t="s">
        <v>533</v>
      </c>
    </row>
    <row r="62" spans="1:4" ht="30" x14ac:dyDescent="0.25">
      <c r="A62" s="2" t="s">
        <v>691</v>
      </c>
      <c r="B62" s="10" t="s">
        <v>26</v>
      </c>
      <c r="C62" s="10" t="s">
        <v>534</v>
      </c>
      <c r="D62" s="10" t="s">
        <v>535</v>
      </c>
    </row>
    <row r="63" spans="1:4" ht="60" x14ac:dyDescent="0.25">
      <c r="A63" s="2" t="s">
        <v>692</v>
      </c>
      <c r="B63" s="10" t="s">
        <v>26</v>
      </c>
      <c r="C63" s="10" t="s">
        <v>536</v>
      </c>
      <c r="D63" s="10" t="s">
        <v>537</v>
      </c>
    </row>
    <row r="64" spans="1:4" ht="45" x14ac:dyDescent="0.25">
      <c r="A64" s="2" t="s">
        <v>693</v>
      </c>
      <c r="B64" s="10" t="s">
        <v>26</v>
      </c>
      <c r="C64" s="10" t="s">
        <v>538</v>
      </c>
      <c r="D64" s="10" t="s">
        <v>539</v>
      </c>
    </row>
    <row r="65" spans="1:4" ht="75" x14ac:dyDescent="0.25">
      <c r="A65" s="2" t="s">
        <v>694</v>
      </c>
      <c r="B65" s="10" t="s">
        <v>26</v>
      </c>
      <c r="C65" s="10" t="s">
        <v>538</v>
      </c>
      <c r="D65" s="10" t="s">
        <v>540</v>
      </c>
    </row>
    <row r="66" spans="1:4" ht="75" x14ac:dyDescent="0.25">
      <c r="A66" s="2" t="s">
        <v>695</v>
      </c>
      <c r="B66" s="10" t="s">
        <v>26</v>
      </c>
      <c r="C66" s="10" t="s">
        <v>538</v>
      </c>
      <c r="D66" s="10" t="s">
        <v>540</v>
      </c>
    </row>
    <row r="67" spans="1:4" ht="75" x14ac:dyDescent="0.25">
      <c r="A67" s="2" t="s">
        <v>696</v>
      </c>
      <c r="B67" s="10" t="s">
        <v>26</v>
      </c>
      <c r="C67" s="10" t="s">
        <v>538</v>
      </c>
      <c r="D67" s="10" t="s">
        <v>540</v>
      </c>
    </row>
    <row r="68" spans="1:4" ht="90" x14ac:dyDescent="0.25">
      <c r="A68" s="2" t="s">
        <v>697</v>
      </c>
      <c r="B68" s="10" t="s">
        <v>26</v>
      </c>
      <c r="C68" s="10" t="s">
        <v>541</v>
      </c>
      <c r="D68" s="10" t="s">
        <v>542</v>
      </c>
    </row>
    <row r="69" spans="1:4" ht="45" x14ac:dyDescent="0.25">
      <c r="A69" s="2" t="s">
        <v>698</v>
      </c>
      <c r="B69" s="10" t="s">
        <v>28</v>
      </c>
      <c r="C69" s="10" t="s">
        <v>543</v>
      </c>
      <c r="D69" s="10" t="s">
        <v>544</v>
      </c>
    </row>
    <row r="70" spans="1:4" ht="60" x14ac:dyDescent="0.25">
      <c r="A70" s="2" t="s">
        <v>699</v>
      </c>
      <c r="B70" s="10" t="s">
        <v>30</v>
      </c>
      <c r="C70" s="10" t="s">
        <v>495</v>
      </c>
      <c r="D70" s="10" t="s">
        <v>545</v>
      </c>
    </row>
    <row r="71" spans="1:4" ht="45" x14ac:dyDescent="0.25">
      <c r="A71" s="2" t="s">
        <v>700</v>
      </c>
      <c r="B71" s="10" t="s">
        <v>32</v>
      </c>
      <c r="C71" s="10" t="s">
        <v>546</v>
      </c>
      <c r="D71" s="10" t="s">
        <v>547</v>
      </c>
    </row>
    <row r="72" spans="1:4" ht="45" x14ac:dyDescent="0.25">
      <c r="A72" s="2" t="s">
        <v>701</v>
      </c>
      <c r="B72" s="10" t="s">
        <v>32</v>
      </c>
      <c r="C72" s="10" t="s">
        <v>548</v>
      </c>
      <c r="D72" s="10" t="s">
        <v>549</v>
      </c>
    </row>
    <row r="73" spans="1:4" ht="45" x14ac:dyDescent="0.25">
      <c r="A73" s="2" t="s">
        <v>702</v>
      </c>
      <c r="B73" s="10" t="s">
        <v>32</v>
      </c>
      <c r="C73" s="10" t="s">
        <v>550</v>
      </c>
      <c r="D73" s="10" t="s">
        <v>551</v>
      </c>
    </row>
    <row r="74" spans="1:4" x14ac:dyDescent="0.25">
      <c r="A74" s="2" t="s">
        <v>703</v>
      </c>
      <c r="B74" s="10" t="s">
        <v>32</v>
      </c>
      <c r="C74" s="10" t="s">
        <v>457</v>
      </c>
      <c r="D74" s="10" t="s">
        <v>552</v>
      </c>
    </row>
    <row r="75" spans="1:4" x14ac:dyDescent="0.25">
      <c r="A75" s="2" t="s">
        <v>704</v>
      </c>
      <c r="B75" s="10" t="s">
        <v>32</v>
      </c>
      <c r="C75" s="10" t="s">
        <v>553</v>
      </c>
      <c r="D75" s="10" t="s">
        <v>554</v>
      </c>
    </row>
    <row r="76" spans="1:4" ht="75" x14ac:dyDescent="0.25">
      <c r="A76" s="2" t="s">
        <v>705</v>
      </c>
      <c r="B76" s="10" t="s">
        <v>32</v>
      </c>
      <c r="C76" s="10" t="s">
        <v>512</v>
      </c>
      <c r="D76" s="10" t="s">
        <v>555</v>
      </c>
    </row>
    <row r="77" spans="1:4" ht="45" x14ac:dyDescent="0.25">
      <c r="A77" s="2" t="s">
        <v>706</v>
      </c>
      <c r="B77" s="10" t="s">
        <v>32</v>
      </c>
      <c r="C77" s="10" t="s">
        <v>499</v>
      </c>
      <c r="D77" s="10" t="s">
        <v>556</v>
      </c>
    </row>
    <row r="78" spans="1:4" ht="45" x14ac:dyDescent="0.25">
      <c r="A78" s="2" t="s">
        <v>707</v>
      </c>
      <c r="B78" s="10" t="s">
        <v>32</v>
      </c>
      <c r="C78" s="10" t="s">
        <v>557</v>
      </c>
      <c r="D78" s="10" t="s">
        <v>558</v>
      </c>
    </row>
    <row r="79" spans="1:4" ht="75" x14ac:dyDescent="0.25">
      <c r="A79" s="2" t="s">
        <v>708</v>
      </c>
      <c r="B79" s="10" t="s">
        <v>32</v>
      </c>
      <c r="C79" s="10" t="s">
        <v>559</v>
      </c>
      <c r="D79" s="10" t="s">
        <v>560</v>
      </c>
    </row>
    <row r="80" spans="1:4" ht="45" x14ac:dyDescent="0.25">
      <c r="A80" s="2" t="s">
        <v>709</v>
      </c>
      <c r="B80" s="10" t="s">
        <v>32</v>
      </c>
      <c r="C80" s="10" t="s">
        <v>561</v>
      </c>
      <c r="D80" s="10" t="s">
        <v>562</v>
      </c>
    </row>
    <row r="81" spans="1:4" ht="30" x14ac:dyDescent="0.25">
      <c r="A81" s="2" t="s">
        <v>710</v>
      </c>
      <c r="B81" s="10" t="s">
        <v>32</v>
      </c>
      <c r="C81" s="10" t="s">
        <v>563</v>
      </c>
      <c r="D81" s="10" t="s">
        <v>460</v>
      </c>
    </row>
    <row r="82" spans="1:4" ht="45" x14ac:dyDescent="0.25">
      <c r="A82" s="2" t="s">
        <v>711</v>
      </c>
      <c r="B82" s="10" t="s">
        <v>32</v>
      </c>
      <c r="C82" s="10" t="s">
        <v>564</v>
      </c>
      <c r="D82" s="10" t="s">
        <v>565</v>
      </c>
    </row>
    <row r="83" spans="1:4" ht="45" x14ac:dyDescent="0.25">
      <c r="A83" s="2" t="s">
        <v>712</v>
      </c>
      <c r="B83" s="10" t="s">
        <v>32</v>
      </c>
      <c r="C83" s="10" t="s">
        <v>566</v>
      </c>
      <c r="D83" s="10" t="s">
        <v>567</v>
      </c>
    </row>
    <row r="84" spans="1:4" ht="45" x14ac:dyDescent="0.25">
      <c r="A84" s="2" t="s">
        <v>713</v>
      </c>
      <c r="B84" s="10" t="s">
        <v>32</v>
      </c>
      <c r="C84" s="10" t="s">
        <v>566</v>
      </c>
      <c r="D84" s="10" t="s">
        <v>567</v>
      </c>
    </row>
    <row r="85" spans="1:4" ht="45" x14ac:dyDescent="0.25">
      <c r="A85" s="2" t="s">
        <v>714</v>
      </c>
      <c r="B85" s="10" t="s">
        <v>32</v>
      </c>
      <c r="C85" s="10" t="s">
        <v>566</v>
      </c>
      <c r="D85" s="10" t="s">
        <v>567</v>
      </c>
    </row>
    <row r="86" spans="1:4" ht="45" x14ac:dyDescent="0.25">
      <c r="A86" s="2" t="s">
        <v>715</v>
      </c>
      <c r="B86" s="10" t="s">
        <v>32</v>
      </c>
      <c r="C86" s="10" t="s">
        <v>566</v>
      </c>
      <c r="D86" s="10" t="s">
        <v>567</v>
      </c>
    </row>
    <row r="87" spans="1:4" ht="45" x14ac:dyDescent="0.25">
      <c r="A87" s="2" t="s">
        <v>716</v>
      </c>
      <c r="B87" s="10" t="s">
        <v>32</v>
      </c>
      <c r="C87" s="10" t="s">
        <v>566</v>
      </c>
      <c r="D87" s="10" t="s">
        <v>567</v>
      </c>
    </row>
    <row r="88" spans="1:4" ht="45" x14ac:dyDescent="0.25">
      <c r="A88" s="2" t="s">
        <v>717</v>
      </c>
      <c r="B88" s="10" t="s">
        <v>32</v>
      </c>
      <c r="C88" s="10" t="s">
        <v>566</v>
      </c>
      <c r="D88" s="10" t="s">
        <v>567</v>
      </c>
    </row>
    <row r="89" spans="1:4" ht="45" x14ac:dyDescent="0.25">
      <c r="A89" s="2" t="s">
        <v>718</v>
      </c>
      <c r="B89" s="10" t="s">
        <v>32</v>
      </c>
      <c r="C89" s="10" t="s">
        <v>566</v>
      </c>
      <c r="D89" s="10" t="s">
        <v>567</v>
      </c>
    </row>
    <row r="90" spans="1:4" ht="45" x14ac:dyDescent="0.25">
      <c r="A90" s="2" t="s">
        <v>719</v>
      </c>
      <c r="B90" s="10" t="s">
        <v>32</v>
      </c>
      <c r="C90" s="10" t="s">
        <v>566</v>
      </c>
      <c r="D90" s="10" t="s">
        <v>567</v>
      </c>
    </row>
    <row r="91" spans="1:4" ht="45" x14ac:dyDescent="0.25">
      <c r="A91" s="2" t="s">
        <v>720</v>
      </c>
      <c r="B91" s="10" t="s">
        <v>32</v>
      </c>
      <c r="C91" s="10" t="s">
        <v>566</v>
      </c>
      <c r="D91" s="10" t="s">
        <v>567</v>
      </c>
    </row>
    <row r="92" spans="1:4" ht="45" x14ac:dyDescent="0.25">
      <c r="A92" s="2" t="s">
        <v>721</v>
      </c>
      <c r="B92" s="10" t="s">
        <v>32</v>
      </c>
      <c r="C92" s="10" t="s">
        <v>566</v>
      </c>
      <c r="D92" s="10" t="s">
        <v>567</v>
      </c>
    </row>
    <row r="93" spans="1:4" ht="45" x14ac:dyDescent="0.25">
      <c r="A93" s="2" t="s">
        <v>722</v>
      </c>
      <c r="B93" s="10" t="s">
        <v>32</v>
      </c>
      <c r="C93" s="10" t="s">
        <v>566</v>
      </c>
      <c r="D93" s="10" t="s">
        <v>567</v>
      </c>
    </row>
    <row r="94" spans="1:4" ht="45" x14ac:dyDescent="0.25">
      <c r="A94" s="2" t="s">
        <v>723</v>
      </c>
      <c r="B94" s="10" t="s">
        <v>32</v>
      </c>
      <c r="C94" s="10" t="s">
        <v>566</v>
      </c>
      <c r="D94" s="10" t="s">
        <v>567</v>
      </c>
    </row>
    <row r="95" spans="1:4" ht="45" x14ac:dyDescent="0.25">
      <c r="A95" s="2" t="s">
        <v>724</v>
      </c>
      <c r="B95" s="10" t="s">
        <v>32</v>
      </c>
      <c r="C95" s="10" t="s">
        <v>566</v>
      </c>
      <c r="D95" s="10" t="s">
        <v>567</v>
      </c>
    </row>
    <row r="96" spans="1:4" ht="45" x14ac:dyDescent="0.25">
      <c r="A96" s="2" t="s">
        <v>725</v>
      </c>
      <c r="B96" s="10" t="s">
        <v>32</v>
      </c>
      <c r="C96" s="10" t="s">
        <v>566</v>
      </c>
      <c r="D96" s="10" t="s">
        <v>567</v>
      </c>
    </row>
    <row r="97" spans="1:4" ht="45" x14ac:dyDescent="0.25">
      <c r="A97" s="2" t="s">
        <v>726</v>
      </c>
      <c r="B97" s="10" t="s">
        <v>32</v>
      </c>
      <c r="C97" s="10" t="s">
        <v>566</v>
      </c>
      <c r="D97" s="10" t="s">
        <v>567</v>
      </c>
    </row>
    <row r="98" spans="1:4" ht="45" x14ac:dyDescent="0.25">
      <c r="A98" s="2" t="s">
        <v>727</v>
      </c>
      <c r="B98" s="10" t="s">
        <v>32</v>
      </c>
      <c r="C98" s="10" t="s">
        <v>566</v>
      </c>
      <c r="D98" s="10" t="s">
        <v>567</v>
      </c>
    </row>
    <row r="99" spans="1:4" ht="45" x14ac:dyDescent="0.25">
      <c r="A99" s="2" t="s">
        <v>728</v>
      </c>
      <c r="B99" s="10" t="s">
        <v>32</v>
      </c>
      <c r="C99" s="10" t="s">
        <v>566</v>
      </c>
      <c r="D99" s="10" t="s">
        <v>567</v>
      </c>
    </row>
    <row r="100" spans="1:4" ht="45" x14ac:dyDescent="0.25">
      <c r="A100" s="2" t="s">
        <v>729</v>
      </c>
      <c r="B100" s="10" t="s">
        <v>32</v>
      </c>
      <c r="C100" s="10" t="s">
        <v>566</v>
      </c>
      <c r="D100" s="10" t="s">
        <v>567</v>
      </c>
    </row>
    <row r="101" spans="1:4" ht="45" x14ac:dyDescent="0.25">
      <c r="A101" s="2" t="s">
        <v>730</v>
      </c>
      <c r="B101" s="10" t="s">
        <v>32</v>
      </c>
      <c r="C101" s="10" t="s">
        <v>566</v>
      </c>
      <c r="D101" s="10" t="s">
        <v>567</v>
      </c>
    </row>
    <row r="102" spans="1:4" ht="45" x14ac:dyDescent="0.25">
      <c r="A102" s="2" t="s">
        <v>731</v>
      </c>
      <c r="B102" s="11" t="s">
        <v>32</v>
      </c>
      <c r="C102" s="11" t="s">
        <v>566</v>
      </c>
      <c r="D102" s="11" t="s">
        <v>567</v>
      </c>
    </row>
    <row r="103" spans="1:4" ht="45" x14ac:dyDescent="0.25">
      <c r="A103" s="2" t="s">
        <v>732</v>
      </c>
      <c r="B103" s="11" t="s">
        <v>32</v>
      </c>
      <c r="C103" s="11" t="s">
        <v>566</v>
      </c>
      <c r="D103" s="11" t="s">
        <v>567</v>
      </c>
    </row>
    <row r="104" spans="1:4" ht="45" x14ac:dyDescent="0.25">
      <c r="A104" s="2" t="s">
        <v>733</v>
      </c>
      <c r="B104" s="11" t="s">
        <v>32</v>
      </c>
      <c r="C104" s="11" t="s">
        <v>566</v>
      </c>
      <c r="D104" s="11" t="s">
        <v>567</v>
      </c>
    </row>
    <row r="105" spans="1:4" ht="45" x14ac:dyDescent="0.25">
      <c r="A105" s="2" t="s">
        <v>734</v>
      </c>
      <c r="B105" s="11" t="s">
        <v>32</v>
      </c>
      <c r="C105" s="11" t="s">
        <v>566</v>
      </c>
      <c r="D105" s="11" t="s">
        <v>567</v>
      </c>
    </row>
    <row r="106" spans="1:4" ht="45" x14ac:dyDescent="0.25">
      <c r="A106" s="2" t="s">
        <v>735</v>
      </c>
      <c r="B106" s="11" t="s">
        <v>32</v>
      </c>
      <c r="C106" s="11" t="s">
        <v>566</v>
      </c>
      <c r="D106" s="11" t="s">
        <v>567</v>
      </c>
    </row>
    <row r="107" spans="1:4" ht="45" x14ac:dyDescent="0.25">
      <c r="A107" s="2" t="s">
        <v>736</v>
      </c>
      <c r="B107" s="11" t="s">
        <v>32</v>
      </c>
      <c r="C107" s="11" t="s">
        <v>566</v>
      </c>
      <c r="D107" s="11" t="s">
        <v>567</v>
      </c>
    </row>
    <row r="108" spans="1:4" ht="45" x14ac:dyDescent="0.25">
      <c r="A108" s="2" t="s">
        <v>737</v>
      </c>
      <c r="B108" s="11" t="s">
        <v>34</v>
      </c>
      <c r="C108" s="11" t="s">
        <v>568</v>
      </c>
      <c r="D108" s="11" t="s">
        <v>569</v>
      </c>
    </row>
    <row r="109" spans="1:4" ht="165" x14ac:dyDescent="0.25">
      <c r="A109" s="2" t="s">
        <v>738</v>
      </c>
      <c r="B109" s="11" t="s">
        <v>34</v>
      </c>
      <c r="C109" s="11" t="s">
        <v>570</v>
      </c>
      <c r="D109" s="11" t="s">
        <v>571</v>
      </c>
    </row>
    <row r="110" spans="1:4" ht="60" x14ac:dyDescent="0.25">
      <c r="A110" s="2" t="s">
        <v>739</v>
      </c>
      <c r="B110" s="11" t="s">
        <v>36</v>
      </c>
      <c r="C110" s="11" t="s">
        <v>512</v>
      </c>
      <c r="D110" s="11" t="s">
        <v>572</v>
      </c>
    </row>
    <row r="111" spans="1:4" ht="60" x14ac:dyDescent="0.25">
      <c r="A111" s="2" t="s">
        <v>740</v>
      </c>
      <c r="B111" s="11" t="s">
        <v>36</v>
      </c>
      <c r="C111" s="11" t="s">
        <v>573</v>
      </c>
      <c r="D111" s="11" t="s">
        <v>574</v>
      </c>
    </row>
    <row r="112" spans="1:4" ht="120" x14ac:dyDescent="0.25">
      <c r="A112" s="2" t="s">
        <v>741</v>
      </c>
      <c r="B112" s="11" t="s">
        <v>36</v>
      </c>
      <c r="C112" s="11" t="s">
        <v>575</v>
      </c>
      <c r="D112" s="11" t="s">
        <v>576</v>
      </c>
    </row>
    <row r="113" spans="1:4" ht="60" x14ac:dyDescent="0.25">
      <c r="A113" s="2" t="s">
        <v>742</v>
      </c>
      <c r="B113" s="11" t="s">
        <v>36</v>
      </c>
      <c r="C113" s="11" t="s">
        <v>577</v>
      </c>
      <c r="D113" s="11" t="s">
        <v>578</v>
      </c>
    </row>
    <row r="114" spans="1:4" ht="135" x14ac:dyDescent="0.25">
      <c r="A114" s="2" t="s">
        <v>743</v>
      </c>
      <c r="B114" s="11" t="s">
        <v>36</v>
      </c>
      <c r="C114" s="11" t="s">
        <v>579</v>
      </c>
      <c r="D114" s="11" t="s">
        <v>580</v>
      </c>
    </row>
    <row r="115" spans="1:4" ht="90" x14ac:dyDescent="0.25">
      <c r="A115" s="2" t="s">
        <v>744</v>
      </c>
      <c r="B115" s="11" t="s">
        <v>36</v>
      </c>
      <c r="C115" s="11" t="s">
        <v>581</v>
      </c>
      <c r="D115" s="11" t="s">
        <v>582</v>
      </c>
    </row>
    <row r="116" spans="1:4" ht="90" x14ac:dyDescent="0.25">
      <c r="A116" s="2" t="s">
        <v>745</v>
      </c>
      <c r="B116" s="11" t="s">
        <v>36</v>
      </c>
      <c r="C116" s="11" t="s">
        <v>583</v>
      </c>
      <c r="D116" s="11" t="s">
        <v>584</v>
      </c>
    </row>
    <row r="117" spans="1:4" ht="30" x14ac:dyDescent="0.25">
      <c r="A117" s="2" t="s">
        <v>746</v>
      </c>
      <c r="B117" s="11" t="s">
        <v>38</v>
      </c>
      <c r="C117" s="11" t="s">
        <v>585</v>
      </c>
      <c r="D117" s="11" t="s">
        <v>586</v>
      </c>
    </row>
    <row r="118" spans="1:4" ht="60" x14ac:dyDescent="0.25">
      <c r="A118" s="2" t="s">
        <v>747</v>
      </c>
      <c r="B118" s="11" t="s">
        <v>38</v>
      </c>
      <c r="C118" s="11" t="s">
        <v>587</v>
      </c>
      <c r="D118" s="11" t="s">
        <v>588</v>
      </c>
    </row>
    <row r="119" spans="1:4" ht="105" x14ac:dyDescent="0.25">
      <c r="A119" s="2" t="s">
        <v>748</v>
      </c>
      <c r="B119" s="11" t="s">
        <v>38</v>
      </c>
      <c r="C119" s="11" t="s">
        <v>589</v>
      </c>
      <c r="D119" s="11" t="s">
        <v>590</v>
      </c>
    </row>
    <row r="120" spans="1:4" ht="75" x14ac:dyDescent="0.25">
      <c r="A120" s="2" t="s">
        <v>749</v>
      </c>
      <c r="B120" s="11" t="s">
        <v>40</v>
      </c>
      <c r="C120" s="11" t="s">
        <v>581</v>
      </c>
      <c r="D120" s="11" t="s">
        <v>591</v>
      </c>
    </row>
    <row r="121" spans="1:4" ht="45" x14ac:dyDescent="0.25">
      <c r="A121" s="2" t="s">
        <v>750</v>
      </c>
      <c r="B121" s="11"/>
      <c r="C121" s="11" t="s">
        <v>592</v>
      </c>
      <c r="D121" s="11" t="s">
        <v>593</v>
      </c>
    </row>
    <row r="122" spans="1:4" ht="90" x14ac:dyDescent="0.25">
      <c r="A122" s="2" t="s">
        <v>751</v>
      </c>
      <c r="B122" s="11" t="s">
        <v>44</v>
      </c>
      <c r="C122" s="11" t="s">
        <v>594</v>
      </c>
      <c r="D122" s="11" t="s">
        <v>595</v>
      </c>
    </row>
    <row r="123" spans="1:4" ht="255" x14ac:dyDescent="0.25">
      <c r="A123" s="2" t="s">
        <v>752</v>
      </c>
      <c r="B123" s="11" t="s">
        <v>44</v>
      </c>
      <c r="C123" s="11" t="s">
        <v>596</v>
      </c>
      <c r="D123" s="11" t="s">
        <v>597</v>
      </c>
    </row>
    <row r="124" spans="1:4" ht="30" x14ac:dyDescent="0.25">
      <c r="A124" s="2" t="s">
        <v>753</v>
      </c>
      <c r="B124" s="11" t="s">
        <v>46</v>
      </c>
      <c r="C124" s="11" t="s">
        <v>598</v>
      </c>
      <c r="D124" s="11" t="s">
        <v>599</v>
      </c>
    </row>
    <row r="125" spans="1:4" ht="60" x14ac:dyDescent="0.25">
      <c r="A125" s="2" t="s">
        <v>754</v>
      </c>
      <c r="B125" s="11" t="s">
        <v>46</v>
      </c>
      <c r="C125" s="11" t="s">
        <v>600</v>
      </c>
      <c r="D125" s="11" t="s">
        <v>601</v>
      </c>
    </row>
    <row r="126" spans="1:4" ht="90" x14ac:dyDescent="0.25">
      <c r="A126" s="2" t="s">
        <v>755</v>
      </c>
      <c r="B126" s="11" t="s">
        <v>46</v>
      </c>
      <c r="C126" s="11" t="s">
        <v>602</v>
      </c>
      <c r="D126" s="11" t="s">
        <v>603</v>
      </c>
    </row>
    <row r="127" spans="1:4" ht="30" x14ac:dyDescent="0.25">
      <c r="A127" s="2" t="s">
        <v>756</v>
      </c>
      <c r="B127" s="11" t="s">
        <v>48</v>
      </c>
      <c r="C127" s="11" t="s">
        <v>604</v>
      </c>
      <c r="D127" s="11" t="s">
        <v>605</v>
      </c>
    </row>
    <row r="128" spans="1:4" ht="255" x14ac:dyDescent="0.25">
      <c r="A128" s="2" t="s">
        <v>757</v>
      </c>
      <c r="B128" s="11" t="s">
        <v>50</v>
      </c>
      <c r="C128" s="11" t="s">
        <v>391</v>
      </c>
      <c r="D128" s="11" t="s">
        <v>606</v>
      </c>
    </row>
    <row r="129" spans="1:4" ht="30" x14ac:dyDescent="0.25">
      <c r="A129" s="2" t="s">
        <v>758</v>
      </c>
      <c r="B129" s="11" t="s">
        <v>50</v>
      </c>
      <c r="C129" s="11" t="s">
        <v>607</v>
      </c>
      <c r="D129" s="11" t="s">
        <v>608</v>
      </c>
    </row>
    <row r="130" spans="1:4" ht="165" x14ac:dyDescent="0.25">
      <c r="A130" s="2" t="s">
        <v>759</v>
      </c>
      <c r="B130" s="11" t="s">
        <v>50</v>
      </c>
      <c r="C130" s="11" t="s">
        <v>609</v>
      </c>
      <c r="D130" s="11" t="s">
        <v>610</v>
      </c>
    </row>
    <row r="131" spans="1:4" ht="195" x14ac:dyDescent="0.25">
      <c r="A131" s="2" t="s">
        <v>760</v>
      </c>
      <c r="B131" s="11" t="s">
        <v>50</v>
      </c>
      <c r="C131" s="11" t="s">
        <v>611</v>
      </c>
      <c r="D131" s="11" t="s">
        <v>612</v>
      </c>
    </row>
    <row r="132" spans="1:4" ht="150" x14ac:dyDescent="0.25">
      <c r="A132" s="2" t="s">
        <v>761</v>
      </c>
      <c r="B132" s="11" t="s">
        <v>50</v>
      </c>
      <c r="C132" s="11" t="s">
        <v>499</v>
      </c>
      <c r="D132" s="11" t="s">
        <v>613</v>
      </c>
    </row>
    <row r="133" spans="1:4" ht="90" x14ac:dyDescent="0.25">
      <c r="A133" s="2" t="s">
        <v>762</v>
      </c>
      <c r="B133" s="11" t="s">
        <v>50</v>
      </c>
      <c r="C133" s="11" t="s">
        <v>614</v>
      </c>
      <c r="D133" s="11" t="s">
        <v>615</v>
      </c>
    </row>
    <row r="134" spans="1:4" ht="45" x14ac:dyDescent="0.25">
      <c r="A134" s="2" t="s">
        <v>763</v>
      </c>
      <c r="B134" s="11" t="s">
        <v>54</v>
      </c>
      <c r="C134" s="11" t="s">
        <v>616</v>
      </c>
      <c r="D134" s="11" t="s">
        <v>617</v>
      </c>
    </row>
    <row r="135" spans="1:4" ht="45" x14ac:dyDescent="0.25">
      <c r="A135" s="2" t="s">
        <v>764</v>
      </c>
      <c r="B135" s="11" t="s">
        <v>56</v>
      </c>
      <c r="C135" s="11" t="s">
        <v>618</v>
      </c>
      <c r="D135" s="11" t="s">
        <v>619</v>
      </c>
    </row>
    <row r="136" spans="1:4" x14ac:dyDescent="0.25">
      <c r="A136" s="2" t="s">
        <v>765</v>
      </c>
      <c r="B136" s="11" t="s">
        <v>58</v>
      </c>
      <c r="C136" s="11" t="s">
        <v>620</v>
      </c>
      <c r="D136" s="11" t="s">
        <v>621</v>
      </c>
    </row>
    <row r="137" spans="1:4" ht="135" x14ac:dyDescent="0.25">
      <c r="A137" s="2" t="s">
        <v>766</v>
      </c>
      <c r="B137" s="11" t="s">
        <v>60</v>
      </c>
      <c r="C137" s="11" t="s">
        <v>423</v>
      </c>
      <c r="D137" s="11" t="s">
        <v>622</v>
      </c>
    </row>
    <row r="138" spans="1:4" ht="150" x14ac:dyDescent="0.25">
      <c r="A138" s="2" t="s">
        <v>767</v>
      </c>
      <c r="B138" s="11" t="s">
        <v>60</v>
      </c>
      <c r="C138" s="11" t="s">
        <v>479</v>
      </c>
      <c r="D138" s="11" t="s">
        <v>623</v>
      </c>
    </row>
    <row r="139" spans="1:4" ht="135" x14ac:dyDescent="0.25">
      <c r="A139" s="2" t="s">
        <v>768</v>
      </c>
      <c r="B139" s="11" t="s">
        <v>60</v>
      </c>
      <c r="C139" s="11" t="s">
        <v>624</v>
      </c>
      <c r="D139" s="11" t="s">
        <v>625</v>
      </c>
    </row>
    <row r="140" spans="1:4" ht="60" x14ac:dyDescent="0.25">
      <c r="A140" s="2" t="s">
        <v>769</v>
      </c>
      <c r="B140" s="11" t="s">
        <v>60</v>
      </c>
      <c r="C140" s="11" t="s">
        <v>626</v>
      </c>
      <c r="D140" s="11" t="s">
        <v>627</v>
      </c>
    </row>
    <row r="141" spans="1:4" ht="105" x14ac:dyDescent="0.25">
      <c r="A141" s="2" t="s">
        <v>770</v>
      </c>
      <c r="B141" s="11" t="s">
        <v>60</v>
      </c>
      <c r="C141" s="11" t="s">
        <v>628</v>
      </c>
      <c r="D141" s="11" t="s">
        <v>629</v>
      </c>
    </row>
    <row r="142" spans="1:4" ht="30" x14ac:dyDescent="0.25">
      <c r="A142" s="2" t="s">
        <v>771</v>
      </c>
      <c r="B142" s="11"/>
      <c r="C142" s="11" t="s">
        <v>415</v>
      </c>
      <c r="D142" s="11" t="s">
        <v>630</v>
      </c>
    </row>
    <row r="143" spans="1:4" ht="45" x14ac:dyDescent="0.25">
      <c r="A143" s="2" t="s">
        <v>772</v>
      </c>
      <c r="B143" s="11"/>
      <c r="C143" s="11" t="s">
        <v>631</v>
      </c>
      <c r="D143" s="11" t="s">
        <v>632</v>
      </c>
    </row>
  </sheetData>
  <autoFilter ref="A1:G3"/>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Views>
    <sheetView workbookViewId="0"/>
  </sheetViews>
  <sheetFormatPr defaultRowHeight="15" x14ac:dyDescent="0.25"/>
  <cols>
    <col min="1" max="1" width="25" customWidth="1"/>
    <col min="2" max="2" width="90" customWidth="1"/>
  </cols>
  <sheetData>
    <row r="1" spans="1:2" x14ac:dyDescent="0.25">
      <c r="A1" s="2" t="s">
        <v>80</v>
      </c>
      <c r="B1" s="2" t="s">
        <v>81</v>
      </c>
    </row>
    <row r="2" spans="1:2" x14ac:dyDescent="0.25">
      <c r="A2" s="2" t="s">
        <v>82</v>
      </c>
      <c r="B2" s="2" t="s">
        <v>83</v>
      </c>
    </row>
    <row r="3" spans="1:2" x14ac:dyDescent="0.25">
      <c r="A3" s="2" t="s">
        <v>84</v>
      </c>
      <c r="B3" s="2" t="s">
        <v>85</v>
      </c>
    </row>
    <row r="4" spans="1:2" x14ac:dyDescent="0.25">
      <c r="A4" s="2" t="s">
        <v>66</v>
      </c>
      <c r="B4" s="2" t="s">
        <v>86</v>
      </c>
    </row>
    <row r="5" spans="1:2" x14ac:dyDescent="0.25">
      <c r="A5" s="2" t="s">
        <v>67</v>
      </c>
      <c r="B5" s="2" t="s">
        <v>87</v>
      </c>
    </row>
    <row r="6" spans="1:2" x14ac:dyDescent="0.25">
      <c r="A6" s="2" t="s">
        <v>88</v>
      </c>
      <c r="B6" s="2" t="s">
        <v>89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Crops</vt:lpstr>
      <vt:lpstr>Pests</vt:lpstr>
      <vt:lpstr>Diseases</vt:lpstr>
      <vt:lpstr>Instructions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TISED-118</cp:lastModifiedBy>
  <dcterms:created xsi:type="dcterms:W3CDTF">2026-08-31T09:42:47Z</dcterms:created>
  <dcterms:modified xsi:type="dcterms:W3CDTF">2026-09-01T05:25:55Z</dcterms:modified>
</cp:coreProperties>
</file>